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fatecspgov-my.sharepoint.com/personal/abner_pelisser_fatec_sp_gov_br/Documents/abner/planilhas-pessoais/publicada/"/>
    </mc:Choice>
  </mc:AlternateContent>
  <xr:revisionPtr revIDLastSave="2055" documentId="8_{093E8B1D-0DFE-4E59-BF2B-E1ED36E3B1A9}" xr6:coauthVersionLast="46" xr6:coauthVersionMax="46" xr10:uidLastSave="{112C3CB6-6308-4776-8D0C-CF4206038D16}"/>
  <bookViews>
    <workbookView xWindow="-120" yWindow="-120" windowWidth="29040" windowHeight="15840" tabRatio="759" xr2:uid="{00000000-000D-0000-FFFF-FFFF00000000}"/>
  </bookViews>
  <sheets>
    <sheet name="Cotação" sheetId="1" r:id="rId1"/>
  </sheets>
  <functionGroups builtInGroupCount="19"/>
  <definedNames>
    <definedName name="_xlnm.Print_Area" localSheetId="0">Cotação!$B$1:$AK$239</definedName>
    <definedName name="condicao_pgto">Cotação!$F$223:$AI$223</definedName>
    <definedName name="forn01">IF(Cotação!$F$15="","-",Cotação!$F$15)</definedName>
    <definedName name="forn02">IF(Cotação!$I$15="","-",Cotação!$I$15)</definedName>
    <definedName name="forn03">IF(Cotação!$L$15="","-",Cotação!$L$15)</definedName>
    <definedName name="forn04">IF(Cotação!$O$15="","-",Cotação!$O$15)</definedName>
    <definedName name="forn05">IF(Cotação!$R$15="","-",Cotação!$R$15)</definedName>
    <definedName name="forn06">IF(Cotação!$U$15="","-",Cotação!$U$15)</definedName>
    <definedName name="forn07">IF(Cotação!$X$15="","-",Cotação!$X$15)</definedName>
    <definedName name="forn08">IF(Cotação!$AA$15="","-",Cotação!$AA$15)</definedName>
    <definedName name="forn09">IF(Cotação!$AD$15="","-",Cotação!$AD$15)</definedName>
    <definedName name="forn10">IF(Cotação!$AG$15="","-",Cotação!$AG$15)</definedName>
    <definedName name="lista_fornecedores">Cotação!$B$227:$B$236</definedName>
    <definedName name="lista_itens">Cotação!$A$18:$A$217</definedName>
    <definedName name="lista_unidades">#REF!</definedName>
    <definedName name="SAPBEXrevision" hidden="1">7</definedName>
    <definedName name="SAPBEXsysID" hidden="1">"BWP"</definedName>
    <definedName name="SAPBEXwbID" hidden="1">"46Q5DEFAK7KV6DU8MW5YBQXPE"</definedName>
    <definedName name="_xlnm.Print_Titles" localSheetId="0">Cotação!$15:$17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7" i="1" l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K8" i="1" l="1"/>
  <c r="F4" i="1" l="1"/>
  <c r="AC215" i="1" l="1"/>
  <c r="T214" i="1"/>
  <c r="AF213" i="1"/>
  <c r="H212" i="1"/>
  <c r="Z211" i="1"/>
  <c r="Z210" i="1"/>
  <c r="W207" i="1"/>
  <c r="Z206" i="1"/>
  <c r="H205" i="1"/>
  <c r="AI204" i="1"/>
  <c r="AF203" i="1"/>
  <c r="Q202" i="1"/>
  <c r="AF201" i="1"/>
  <c r="Z199" i="1"/>
  <c r="T197" i="1"/>
  <c r="AF196" i="1"/>
  <c r="W195" i="1"/>
  <c r="W192" i="1"/>
  <c r="W191" i="1"/>
  <c r="N190" i="1"/>
  <c r="AI189" i="1"/>
  <c r="AF188" i="1"/>
  <c r="N187" i="1"/>
  <c r="AF185" i="1"/>
  <c r="N184" i="1"/>
  <c r="Q183" i="1"/>
  <c r="T182" i="1"/>
  <c r="Q181" i="1"/>
  <c r="AC180" i="1"/>
  <c r="Q178" i="1"/>
  <c r="AC176" i="1"/>
  <c r="W175" i="1"/>
  <c r="AI174" i="1"/>
  <c r="H173" i="1"/>
  <c r="AC172" i="1"/>
  <c r="AC171" i="1"/>
  <c r="AI170" i="1"/>
  <c r="H168" i="1"/>
  <c r="Q167" i="1"/>
  <c r="T166" i="1"/>
  <c r="T165" i="1"/>
  <c r="Z164" i="1"/>
  <c r="Z163" i="1"/>
  <c r="AC161" i="1"/>
  <c r="H160" i="1"/>
  <c r="T159" i="1"/>
  <c r="Q158" i="1"/>
  <c r="AC157" i="1"/>
  <c r="AC156" i="1"/>
  <c r="Q154" i="1"/>
  <c r="Q153" i="1"/>
  <c r="T152" i="1"/>
  <c r="T151" i="1"/>
  <c r="Q150" i="1"/>
  <c r="H149" i="1"/>
  <c r="H148" i="1"/>
  <c r="W147" i="1"/>
  <c r="K146" i="1"/>
  <c r="AC145" i="1"/>
  <c r="Q143" i="1"/>
  <c r="AC142" i="1"/>
  <c r="T141" i="1"/>
  <c r="W140" i="1"/>
  <c r="T139" i="1"/>
  <c r="H138" i="1"/>
  <c r="W136" i="1"/>
  <c r="W135" i="1"/>
  <c r="Q134" i="1"/>
  <c r="H133" i="1"/>
  <c r="T132" i="1"/>
  <c r="Z131" i="1"/>
  <c r="W130" i="1"/>
  <c r="Z128" i="1"/>
  <c r="K127" i="1"/>
  <c r="K126" i="1"/>
  <c r="K125" i="1"/>
  <c r="W124" i="1"/>
  <c r="AC123" i="1"/>
  <c r="H122" i="1"/>
  <c r="Z121" i="1"/>
  <c r="N120" i="1"/>
  <c r="W119" i="1"/>
  <c r="W118" i="1"/>
  <c r="AI117" i="1"/>
  <c r="N116" i="1"/>
  <c r="AF115" i="1"/>
  <c r="N114" i="1"/>
  <c r="Q112" i="1"/>
  <c r="AC111" i="1"/>
  <c r="T110" i="1"/>
  <c r="W109" i="1"/>
  <c r="AF108" i="1"/>
  <c r="Q107" i="1"/>
  <c r="AI106" i="1"/>
  <c r="AI105" i="1"/>
  <c r="AC104" i="1"/>
  <c r="AF103" i="1"/>
  <c r="AI102" i="1"/>
  <c r="H101" i="1"/>
  <c r="N99" i="1"/>
  <c r="AF98" i="1"/>
  <c r="K95" i="1"/>
  <c r="N94" i="1"/>
  <c r="AC93" i="1"/>
  <c r="N92" i="1"/>
  <c r="N91" i="1"/>
  <c r="W89" i="1"/>
  <c r="W88" i="1"/>
  <c r="Z87" i="1"/>
  <c r="W86" i="1"/>
  <c r="Z85" i="1"/>
  <c r="N84" i="1"/>
  <c r="T82" i="1"/>
  <c r="AI81" i="1"/>
  <c r="K80" i="1"/>
  <c r="Z79" i="1"/>
  <c r="H78" i="1"/>
  <c r="T77" i="1"/>
  <c r="Q76" i="1"/>
  <c r="T75" i="1"/>
  <c r="AF74" i="1"/>
  <c r="H73" i="1"/>
  <c r="AC72" i="1"/>
  <c r="N71" i="1"/>
  <c r="W70" i="1"/>
  <c r="AF69" i="1"/>
  <c r="Z67" i="1"/>
  <c r="W66" i="1"/>
  <c r="Z65" i="1"/>
  <c r="W63" i="1"/>
  <c r="W62" i="1"/>
  <c r="N61" i="1"/>
  <c r="K60" i="1"/>
  <c r="K59" i="1"/>
  <c r="N58" i="1"/>
  <c r="K56" i="1"/>
  <c r="Q55" i="1"/>
  <c r="Q54" i="1"/>
  <c r="H53" i="1"/>
  <c r="Z52" i="1"/>
  <c r="T51" i="1"/>
  <c r="Z50" i="1"/>
  <c r="AI49" i="1"/>
  <c r="N48" i="1"/>
  <c r="W47" i="1"/>
  <c r="AF46" i="1"/>
  <c r="K45" i="1"/>
  <c r="Q44" i="1"/>
  <c r="AI43" i="1"/>
  <c r="K42" i="1"/>
  <c r="AF41" i="1"/>
  <c r="W40" i="1"/>
  <c r="N39" i="1"/>
  <c r="Z38" i="1"/>
  <c r="W37" i="1"/>
  <c r="N36" i="1"/>
  <c r="AI35" i="1"/>
  <c r="T32" i="1"/>
  <c r="W31" i="1"/>
  <c r="T30" i="1"/>
  <c r="T29" i="1"/>
  <c r="T28" i="1"/>
  <c r="H27" i="1"/>
  <c r="N26" i="1"/>
  <c r="AI24" i="1"/>
  <c r="T23" i="1"/>
  <c r="AF22" i="1"/>
  <c r="W21" i="1"/>
  <c r="AF20" i="1"/>
  <c r="T199" i="1"/>
  <c r="H144" i="1"/>
  <c r="K192" i="1"/>
  <c r="N97" i="1"/>
  <c r="AC113" i="1"/>
  <c r="K129" i="1"/>
  <c r="H141" i="1"/>
  <c r="Q193" i="1"/>
  <c r="H97" i="1"/>
  <c r="N160" i="1"/>
  <c r="H192" i="1"/>
  <c r="H89" i="1"/>
  <c r="W142" i="1"/>
  <c r="N174" i="1"/>
  <c r="K198" i="1"/>
  <c r="AF206" i="1"/>
  <c r="AI206" i="1"/>
  <c r="W206" i="1"/>
  <c r="K206" i="1"/>
  <c r="H110" i="1"/>
  <c r="N206" i="1"/>
  <c r="Q206" i="1"/>
  <c r="AI103" i="1"/>
  <c r="K103" i="1"/>
  <c r="AF159" i="1"/>
  <c r="AC159" i="1"/>
  <c r="N159" i="1"/>
  <c r="AI167" i="1"/>
  <c r="AF175" i="1"/>
  <c r="Z175" i="1"/>
  <c r="Q175" i="1"/>
  <c r="AC191" i="1"/>
  <c r="AF191" i="1"/>
  <c r="K191" i="1"/>
  <c r="AC199" i="1"/>
  <c r="AF199" i="1"/>
  <c r="K199" i="1"/>
  <c r="AI207" i="1"/>
  <c r="AC207" i="1"/>
  <c r="K207" i="1"/>
  <c r="AF215" i="1"/>
  <c r="AI215" i="1"/>
  <c r="W215" i="1"/>
  <c r="N215" i="1"/>
  <c r="H193" i="1"/>
  <c r="H206" i="1"/>
  <c r="H214" i="1"/>
  <c r="Q142" i="1"/>
  <c r="T126" i="1"/>
  <c r="Q126" i="1"/>
  <c r="Z150" i="1"/>
  <c r="W182" i="1"/>
  <c r="N182" i="1"/>
  <c r="AI40" i="1"/>
  <c r="AI56" i="1"/>
  <c r="AF80" i="1"/>
  <c r="Z80" i="1"/>
  <c r="W80" i="1"/>
  <c r="AC88" i="1"/>
  <c r="AC96" i="1"/>
  <c r="AF112" i="1"/>
  <c r="AI112" i="1"/>
  <c r="AC112" i="1"/>
  <c r="W112" i="1"/>
  <c r="Z112" i="1"/>
  <c r="AI120" i="1"/>
  <c r="W120" i="1"/>
  <c r="Z120" i="1"/>
  <c r="Q120" i="1"/>
  <c r="AI128" i="1"/>
  <c r="AF144" i="1"/>
  <c r="AI144" i="1"/>
  <c r="Z144" i="1"/>
  <c r="W144" i="1"/>
  <c r="T144" i="1"/>
  <c r="Q144" i="1"/>
  <c r="K144" i="1"/>
  <c r="N144" i="1"/>
  <c r="AF160" i="1"/>
  <c r="AI160" i="1"/>
  <c r="AC160" i="1"/>
  <c r="Z160" i="1"/>
  <c r="T160" i="1"/>
  <c r="W160" i="1"/>
  <c r="Q160" i="1"/>
  <c r="K160" i="1"/>
  <c r="AF184" i="1"/>
  <c r="Z184" i="1"/>
  <c r="AC192" i="1"/>
  <c r="AF192" i="1"/>
  <c r="AI192" i="1"/>
  <c r="Z192" i="1"/>
  <c r="Q192" i="1"/>
  <c r="N192" i="1"/>
  <c r="T192" i="1"/>
  <c r="AI208" i="1"/>
  <c r="AC208" i="1"/>
  <c r="AF208" i="1"/>
  <c r="Z208" i="1"/>
  <c r="K208" i="1"/>
  <c r="Q208" i="1"/>
  <c r="N208" i="1"/>
  <c r="AI216" i="1"/>
  <c r="AC216" i="1"/>
  <c r="W216" i="1"/>
  <c r="Z216" i="1"/>
  <c r="K216" i="1"/>
  <c r="Q216" i="1"/>
  <c r="N216" i="1"/>
  <c r="H62" i="1"/>
  <c r="H112" i="1"/>
  <c r="H120" i="1"/>
  <c r="H150" i="1"/>
  <c r="K175" i="1"/>
  <c r="N193" i="1"/>
  <c r="N214" i="1"/>
  <c r="Q78" i="1"/>
  <c r="AC144" i="1"/>
  <c r="AC70" i="1"/>
  <c r="AF78" i="1"/>
  <c r="AI158" i="1"/>
  <c r="AC158" i="1"/>
  <c r="AF158" i="1"/>
  <c r="Z158" i="1"/>
  <c r="W158" i="1"/>
  <c r="T158" i="1"/>
  <c r="AF190" i="1"/>
  <c r="AI190" i="1"/>
  <c r="K190" i="1"/>
  <c r="Q190" i="1"/>
  <c r="Z214" i="1"/>
  <c r="K142" i="1"/>
  <c r="Z25" i="1"/>
  <c r="N57" i="1"/>
  <c r="AF73" i="1"/>
  <c r="AI73" i="1"/>
  <c r="AC73" i="1"/>
  <c r="W73" i="1"/>
  <c r="Z73" i="1"/>
  <c r="T73" i="1"/>
  <c r="Q73" i="1"/>
  <c r="K73" i="1"/>
  <c r="N73" i="1"/>
  <c r="AF89" i="1"/>
  <c r="AI89" i="1"/>
  <c r="AC89" i="1"/>
  <c r="T89" i="1"/>
  <c r="Q89" i="1"/>
  <c r="Z89" i="1"/>
  <c r="K89" i="1"/>
  <c r="K93" i="1"/>
  <c r="AF97" i="1"/>
  <c r="AI97" i="1"/>
  <c r="Z97" i="1"/>
  <c r="T97" i="1"/>
  <c r="AC97" i="1"/>
  <c r="W97" i="1"/>
  <c r="Q97" i="1"/>
  <c r="K97" i="1"/>
  <c r="N109" i="1"/>
  <c r="Q109" i="1"/>
  <c r="AF113" i="1"/>
  <c r="AI113" i="1"/>
  <c r="Z113" i="1"/>
  <c r="N113" i="1"/>
  <c r="T113" i="1"/>
  <c r="W113" i="1"/>
  <c r="Q113" i="1"/>
  <c r="K113" i="1"/>
  <c r="AF129" i="1"/>
  <c r="Z129" i="1"/>
  <c r="W129" i="1"/>
  <c r="AI129" i="1"/>
  <c r="N129" i="1"/>
  <c r="AC129" i="1"/>
  <c r="T129" i="1"/>
  <c r="AF137" i="1"/>
  <c r="K157" i="1"/>
  <c r="AF157" i="1"/>
  <c r="N157" i="1"/>
  <c r="AI165" i="1"/>
  <c r="T173" i="1"/>
  <c r="K173" i="1"/>
  <c r="Q173" i="1"/>
  <c r="AF177" i="1"/>
  <c r="K177" i="1"/>
  <c r="Z177" i="1"/>
  <c r="Q177" i="1"/>
  <c r="T181" i="1"/>
  <c r="K181" i="1"/>
  <c r="AF189" i="1"/>
  <c r="T189" i="1"/>
  <c r="AF193" i="1"/>
  <c r="AI193" i="1"/>
  <c r="AC193" i="1"/>
  <c r="Z193" i="1"/>
  <c r="W193" i="1"/>
  <c r="T193" i="1"/>
  <c r="K193" i="1"/>
  <c r="AI209" i="1"/>
  <c r="Z209" i="1"/>
  <c r="W209" i="1"/>
  <c r="Q209" i="1"/>
  <c r="AC213" i="1"/>
  <c r="Q213" i="1"/>
  <c r="H63" i="1"/>
  <c r="H80" i="1"/>
  <c r="H88" i="1"/>
  <c r="H113" i="1"/>
  <c r="H125" i="1"/>
  <c r="H129" i="1"/>
  <c r="H142" i="1"/>
  <c r="H175" i="1"/>
  <c r="H184" i="1"/>
  <c r="H191" i="1"/>
  <c r="H199" i="1"/>
  <c r="H208" i="1"/>
  <c r="H216" i="1"/>
  <c r="K112" i="1"/>
  <c r="K159" i="1"/>
  <c r="N22" i="1"/>
  <c r="N89" i="1"/>
  <c r="N110" i="1"/>
  <c r="N197" i="1"/>
  <c r="Q40" i="1"/>
  <c r="Q129" i="1"/>
  <c r="T40" i="1"/>
  <c r="T150" i="1"/>
  <c r="T216" i="1"/>
  <c r="Z22" i="1"/>
  <c r="N167" i="1"/>
  <c r="Q48" i="1"/>
  <c r="Q184" i="1"/>
  <c r="W150" i="1"/>
  <c r="Z167" i="1"/>
  <c r="AC48" i="1"/>
  <c r="AC184" i="1"/>
  <c r="AF65" i="1"/>
  <c r="AI150" i="1"/>
  <c r="H31" i="1"/>
  <c r="H167" i="1"/>
  <c r="K48" i="1"/>
  <c r="K184" i="1"/>
  <c r="T31" i="1"/>
  <c r="T167" i="1"/>
  <c r="W48" i="1"/>
  <c r="W184" i="1"/>
  <c r="Z133" i="1"/>
  <c r="AC150" i="1"/>
  <c r="AF167" i="1"/>
  <c r="AI48" i="1"/>
  <c r="AI184" i="1"/>
  <c r="H48" i="1"/>
  <c r="K201" i="1"/>
  <c r="N150" i="1"/>
  <c r="T48" i="1"/>
  <c r="T184" i="1"/>
  <c r="AI166" i="1"/>
  <c r="AF166" i="1"/>
  <c r="AC166" i="1"/>
  <c r="Z166" i="1"/>
  <c r="W166" i="1"/>
  <c r="K166" i="1"/>
  <c r="N166" i="1"/>
  <c r="T47" i="1"/>
  <c r="W183" i="1"/>
  <c r="T183" i="1"/>
  <c r="H183" i="1"/>
  <c r="K47" i="1"/>
  <c r="N183" i="1"/>
  <c r="AI200" i="1"/>
  <c r="AF200" i="1"/>
  <c r="AC200" i="1"/>
  <c r="Z200" i="1"/>
  <c r="W200" i="1"/>
  <c r="T200" i="1"/>
  <c r="Q200" i="1"/>
  <c r="N200" i="1"/>
  <c r="H200" i="1"/>
  <c r="K200" i="1"/>
  <c r="AF81" i="1"/>
  <c r="AC81" i="1"/>
  <c r="Z81" i="1"/>
  <c r="T81" i="1"/>
  <c r="Q81" i="1"/>
  <c r="Z149" i="1"/>
  <c r="W149" i="1"/>
  <c r="Q149" i="1"/>
  <c r="AI217" i="1"/>
  <c r="AF217" i="1"/>
  <c r="AC217" i="1"/>
  <c r="Z217" i="1"/>
  <c r="W217" i="1"/>
  <c r="T217" i="1"/>
  <c r="Q217" i="1"/>
  <c r="N217" i="1"/>
  <c r="H81" i="1"/>
  <c r="H217" i="1"/>
  <c r="K81" i="1"/>
  <c r="K217" i="1"/>
  <c r="F225" i="1"/>
  <c r="A15" i="1"/>
  <c r="AJ184" i="1" a="1"/>
  <c r="AJ89" i="1" a="1"/>
  <c r="AJ97" i="1" a="1"/>
  <c r="AJ160" i="1" a="1"/>
  <c r="AJ113" i="1" a="1"/>
  <c r="AJ144" i="1" a="1"/>
  <c r="AJ200" i="1" a="1"/>
  <c r="AJ217" i="1" a="1"/>
  <c r="AJ129" i="1" a="1"/>
  <c r="AJ192" i="1" a="1"/>
  <c r="AJ73" i="1" a="1"/>
  <c r="AJ193" i="1" a="1"/>
  <c r="H24" i="1" l="1"/>
  <c r="AI93" i="1"/>
  <c r="AC80" i="1"/>
  <c r="Z19" i="1"/>
  <c r="H19" i="1"/>
  <c r="W181" i="1"/>
  <c r="N141" i="1"/>
  <c r="T61" i="1"/>
  <c r="H29" i="1"/>
  <c r="N165" i="1"/>
  <c r="Q141" i="1"/>
  <c r="N45" i="1"/>
  <c r="AI78" i="1"/>
  <c r="K40" i="1"/>
  <c r="AC38" i="1"/>
  <c r="N70" i="1"/>
  <c r="Z197" i="1"/>
  <c r="AF18" i="1"/>
  <c r="H18" i="1"/>
  <c r="K18" i="1"/>
  <c r="AF173" i="1"/>
  <c r="T213" i="1"/>
  <c r="AC197" i="1"/>
  <c r="K165" i="1"/>
  <c r="AI141" i="1"/>
  <c r="AF29" i="1"/>
  <c r="K21" i="1"/>
  <c r="N213" i="1"/>
  <c r="AI197" i="1"/>
  <c r="K189" i="1"/>
  <c r="Q165" i="1"/>
  <c r="AC125" i="1"/>
  <c r="Z70" i="1"/>
  <c r="T112" i="1"/>
  <c r="K24" i="1"/>
  <c r="K213" i="1"/>
  <c r="K141" i="1"/>
  <c r="T109" i="1"/>
  <c r="N37" i="1"/>
  <c r="Z37" i="1"/>
  <c r="Q125" i="1"/>
  <c r="T125" i="1"/>
  <c r="Q93" i="1"/>
  <c r="H165" i="1"/>
  <c r="N125" i="1"/>
  <c r="Z93" i="1"/>
  <c r="AC21" i="1"/>
  <c r="AI157" i="1"/>
  <c r="K109" i="1"/>
  <c r="Q31" i="1"/>
  <c r="Z40" i="1"/>
  <c r="AC55" i="1"/>
  <c r="W24" i="1"/>
  <c r="Q111" i="1"/>
  <c r="AF31" i="1"/>
  <c r="AC24" i="1"/>
  <c r="N112" i="1"/>
  <c r="AF88" i="1"/>
  <c r="H103" i="1"/>
  <c r="Z95" i="1"/>
  <c r="W213" i="1"/>
  <c r="Z181" i="1"/>
  <c r="Q157" i="1"/>
  <c r="W125" i="1"/>
  <c r="AF93" i="1"/>
  <c r="W197" i="1"/>
  <c r="AC165" i="1"/>
  <c r="Q77" i="1"/>
  <c r="AI149" i="1"/>
  <c r="H166" i="1"/>
  <c r="W30" i="1"/>
  <c r="K150" i="1"/>
  <c r="Q197" i="1"/>
  <c r="Z213" i="1"/>
  <c r="Q205" i="1"/>
  <c r="Z189" i="1"/>
  <c r="Z173" i="1"/>
  <c r="W165" i="1"/>
  <c r="W157" i="1"/>
  <c r="W141" i="1"/>
  <c r="Z125" i="1"/>
  <c r="Z109" i="1"/>
  <c r="W29" i="1"/>
  <c r="W214" i="1"/>
  <c r="N158" i="1"/>
  <c r="K78" i="1"/>
  <c r="AI70" i="1"/>
  <c r="N126" i="1"/>
  <c r="Z126" i="1"/>
  <c r="T206" i="1"/>
  <c r="AI142" i="1"/>
  <c r="AF197" i="1"/>
  <c r="AC149" i="1"/>
  <c r="W173" i="1"/>
  <c r="Z141" i="1"/>
  <c r="AC109" i="1"/>
  <c r="Q166" i="1"/>
  <c r="AF70" i="1"/>
  <c r="AI213" i="1"/>
  <c r="K197" i="1"/>
  <c r="AC189" i="1"/>
  <c r="AC173" i="1"/>
  <c r="Z165" i="1"/>
  <c r="Z157" i="1"/>
  <c r="AC141" i="1"/>
  <c r="AI125" i="1"/>
  <c r="AI109" i="1"/>
  <c r="Z29" i="1"/>
  <c r="AF214" i="1"/>
  <c r="K158" i="1"/>
  <c r="AC78" i="1"/>
  <c r="Z46" i="1"/>
  <c r="AC126" i="1"/>
  <c r="H189" i="1"/>
  <c r="AC206" i="1"/>
  <c r="AF110" i="1"/>
  <c r="N173" i="1"/>
  <c r="K149" i="1"/>
  <c r="H109" i="1"/>
  <c r="W189" i="1"/>
  <c r="AC29" i="1"/>
  <c r="N133" i="1"/>
  <c r="Q61" i="1"/>
  <c r="K29" i="1"/>
  <c r="H158" i="1"/>
  <c r="AI173" i="1"/>
  <c r="AF165" i="1"/>
  <c r="AF141" i="1"/>
  <c r="AF125" i="1"/>
  <c r="AF109" i="1"/>
  <c r="AC61" i="1"/>
  <c r="AI29" i="1"/>
  <c r="W78" i="1"/>
  <c r="H174" i="1"/>
  <c r="T62" i="1"/>
  <c r="Z62" i="1"/>
  <c r="Q24" i="1"/>
  <c r="K70" i="1"/>
  <c r="H70" i="1"/>
  <c r="AC37" i="1"/>
  <c r="AF56" i="1"/>
  <c r="Z24" i="1"/>
  <c r="H185" i="1"/>
  <c r="AC201" i="1"/>
  <c r="AI201" i="1"/>
  <c r="Z201" i="1"/>
  <c r="N201" i="1"/>
  <c r="AC65" i="1"/>
  <c r="H201" i="1"/>
  <c r="Q201" i="1"/>
  <c r="H65" i="1"/>
  <c r="Q65" i="1"/>
  <c r="T201" i="1"/>
  <c r="Q185" i="1"/>
  <c r="N65" i="1"/>
  <c r="AC185" i="1"/>
  <c r="W65" i="1"/>
  <c r="T65" i="1"/>
  <c r="K65" i="1"/>
  <c r="N185" i="1"/>
  <c r="W201" i="1"/>
  <c r="AI185" i="1"/>
  <c r="AC95" i="1"/>
  <c r="Q29" i="1"/>
  <c r="T103" i="1"/>
  <c r="T143" i="1"/>
  <c r="Q47" i="1"/>
  <c r="H21" i="1"/>
  <c r="W143" i="1"/>
  <c r="H93" i="1"/>
  <c r="Z48" i="1"/>
  <c r="N53" i="1"/>
  <c r="T86" i="1"/>
  <c r="Q62" i="1"/>
  <c r="W133" i="1"/>
  <c r="K85" i="1"/>
  <c r="T133" i="1"/>
  <c r="AF133" i="1"/>
  <c r="AC39" i="1"/>
  <c r="W151" i="1"/>
  <c r="W85" i="1"/>
  <c r="Q128" i="1"/>
  <c r="W128" i="1"/>
  <c r="AC128" i="1"/>
  <c r="T128" i="1"/>
  <c r="AF128" i="1"/>
  <c r="H32" i="1"/>
  <c r="K120" i="1"/>
  <c r="AC214" i="1"/>
  <c r="AI214" i="1"/>
  <c r="K214" i="1"/>
  <c r="Q214" i="1"/>
  <c r="W110" i="1"/>
  <c r="AC118" i="1"/>
  <c r="Z110" i="1"/>
  <c r="AC110" i="1"/>
  <c r="W104" i="1"/>
  <c r="T120" i="1"/>
  <c r="Z182" i="1"/>
  <c r="Q182" i="1"/>
  <c r="Z118" i="1"/>
  <c r="H182" i="1"/>
  <c r="K182" i="1"/>
  <c r="AF182" i="1"/>
  <c r="AC182" i="1"/>
  <c r="AI182" i="1"/>
  <c r="H161" i="1"/>
  <c r="K185" i="1"/>
  <c r="H49" i="1"/>
  <c r="W185" i="1"/>
  <c r="Z185" i="1"/>
  <c r="N32" i="1"/>
  <c r="Z32" i="1"/>
  <c r="AI88" i="1"/>
  <c r="AC32" i="1"/>
  <c r="T104" i="1"/>
  <c r="AI32" i="1"/>
  <c r="H104" i="1"/>
  <c r="Q32" i="1"/>
  <c r="AF172" i="1"/>
  <c r="H86" i="1"/>
  <c r="N128" i="1"/>
  <c r="H128" i="1"/>
  <c r="K128" i="1"/>
  <c r="AI111" i="1"/>
  <c r="AF142" i="1"/>
  <c r="N142" i="1"/>
  <c r="W32" i="1"/>
  <c r="K32" i="1"/>
  <c r="AF32" i="1"/>
  <c r="AI104" i="1"/>
  <c r="N118" i="1"/>
  <c r="AF118" i="1"/>
  <c r="AI118" i="1"/>
  <c r="K118" i="1"/>
  <c r="H118" i="1"/>
  <c r="T134" i="1"/>
  <c r="Q118" i="1"/>
  <c r="N55" i="1"/>
  <c r="T55" i="1"/>
  <c r="AI101" i="1"/>
  <c r="K101" i="1"/>
  <c r="AC63" i="1"/>
  <c r="N78" i="1"/>
  <c r="Z78" i="1"/>
  <c r="H145" i="1"/>
  <c r="W93" i="1"/>
  <c r="T93" i="1"/>
  <c r="T127" i="1"/>
  <c r="T56" i="1"/>
  <c r="W56" i="1"/>
  <c r="Z56" i="1"/>
  <c r="H56" i="1"/>
  <c r="T54" i="1"/>
  <c r="N69" i="1"/>
  <c r="AC120" i="1"/>
  <c r="AF120" i="1"/>
  <c r="K133" i="1"/>
  <c r="AC133" i="1"/>
  <c r="AI133" i="1"/>
  <c r="Z117" i="1"/>
  <c r="AC117" i="1"/>
  <c r="Q133" i="1"/>
  <c r="H117" i="1"/>
  <c r="AF117" i="1"/>
  <c r="Q101" i="1"/>
  <c r="N117" i="1"/>
  <c r="T101" i="1"/>
  <c r="AC181" i="1"/>
  <c r="AC45" i="1"/>
  <c r="Z45" i="1"/>
  <c r="H181" i="1"/>
  <c r="N101" i="1"/>
  <c r="W101" i="1"/>
  <c r="AI181" i="1"/>
  <c r="N85" i="1"/>
  <c r="Q117" i="1"/>
  <c r="AC101" i="1"/>
  <c r="AF181" i="1"/>
  <c r="W45" i="1"/>
  <c r="T117" i="1"/>
  <c r="AF101" i="1"/>
  <c r="AF143" i="1"/>
  <c r="AF21" i="1"/>
  <c r="K71" i="1"/>
  <c r="K88" i="1"/>
  <c r="Q88" i="1"/>
  <c r="Q104" i="1"/>
  <c r="K104" i="1"/>
  <c r="K69" i="1"/>
  <c r="N23" i="1"/>
  <c r="AC86" i="1"/>
  <c r="AI86" i="1"/>
  <c r="T21" i="1"/>
  <c r="AF71" i="1"/>
  <c r="AI164" i="1"/>
  <c r="Z55" i="1"/>
  <c r="AF164" i="1"/>
  <c r="AF140" i="1"/>
  <c r="AC76" i="1"/>
  <c r="AI212" i="1"/>
  <c r="T188" i="1"/>
  <c r="AF124" i="1"/>
  <c r="AI62" i="1"/>
  <c r="H23" i="1"/>
  <c r="Q71" i="1"/>
  <c r="Q159" i="1"/>
  <c r="AI46" i="1"/>
  <c r="W127" i="1"/>
  <c r="W71" i="1"/>
  <c r="AI31" i="1"/>
  <c r="K188" i="1"/>
  <c r="Q36" i="1"/>
  <c r="H28" i="1"/>
  <c r="AI52" i="1"/>
  <c r="K23" i="1"/>
  <c r="H39" i="1"/>
  <c r="W76" i="1"/>
  <c r="Z47" i="1"/>
  <c r="H55" i="1"/>
  <c r="K39" i="1"/>
  <c r="Q215" i="1"/>
  <c r="N207" i="1"/>
  <c r="AF207" i="1"/>
  <c r="AI199" i="1"/>
  <c r="AI191" i="1"/>
  <c r="AC175" i="1"/>
  <c r="W159" i="1"/>
  <c r="Z143" i="1"/>
  <c r="AI127" i="1"/>
  <c r="Q103" i="1"/>
  <c r="AF95" i="1"/>
  <c r="K63" i="1"/>
  <c r="AI55" i="1"/>
  <c r="AF23" i="1"/>
  <c r="H143" i="1"/>
  <c r="H47" i="1"/>
  <c r="AC47" i="1"/>
  <c r="H215" i="1"/>
  <c r="H127" i="1"/>
  <c r="K215" i="1"/>
  <c r="Q207" i="1"/>
  <c r="N199" i="1"/>
  <c r="N191" i="1"/>
  <c r="T175" i="1"/>
  <c r="K167" i="1"/>
  <c r="Z159" i="1"/>
  <c r="AC143" i="1"/>
  <c r="AF127" i="1"/>
  <c r="AC103" i="1"/>
  <c r="Q63" i="1"/>
  <c r="W39" i="1"/>
  <c r="AC23" i="1"/>
  <c r="T111" i="1"/>
  <c r="AF47" i="1"/>
  <c r="N63" i="1"/>
  <c r="H207" i="1"/>
  <c r="N143" i="1"/>
  <c r="H111" i="1"/>
  <c r="T215" i="1"/>
  <c r="Z207" i="1"/>
  <c r="Q199" i="1"/>
  <c r="Q191" i="1"/>
  <c r="N175" i="1"/>
  <c r="W167" i="1"/>
  <c r="AI159" i="1"/>
  <c r="AI143" i="1"/>
  <c r="K111" i="1"/>
  <c r="Z63" i="1"/>
  <c r="Z39" i="1"/>
  <c r="AI23" i="1"/>
  <c r="H159" i="1"/>
  <c r="H95" i="1"/>
  <c r="Z215" i="1"/>
  <c r="T207" i="1"/>
  <c r="W199" i="1"/>
  <c r="Z191" i="1"/>
  <c r="AI175" i="1"/>
  <c r="AC167" i="1"/>
  <c r="K143" i="1"/>
  <c r="N127" i="1"/>
  <c r="AF111" i="1"/>
  <c r="N95" i="1"/>
  <c r="T71" i="1"/>
  <c r="K55" i="1"/>
  <c r="AF39" i="1"/>
  <c r="H44" i="1"/>
  <c r="Z119" i="1"/>
  <c r="Z31" i="1"/>
  <c r="N31" i="1"/>
  <c r="T191" i="1"/>
  <c r="H71" i="1"/>
  <c r="N29" i="1"/>
  <c r="Z21" i="1"/>
  <c r="N93" i="1"/>
  <c r="AI21" i="1"/>
  <c r="Q21" i="1"/>
  <c r="N21" i="1"/>
  <c r="Z86" i="1"/>
  <c r="H36" i="1"/>
  <c r="H108" i="1"/>
  <c r="AF156" i="1"/>
  <c r="T60" i="1"/>
  <c r="AF52" i="1"/>
  <c r="K36" i="1"/>
  <c r="N148" i="1"/>
  <c r="W60" i="1"/>
  <c r="AC36" i="1"/>
  <c r="H164" i="1"/>
  <c r="H140" i="1"/>
  <c r="Z132" i="1"/>
  <c r="K116" i="1"/>
  <c r="AI180" i="1"/>
  <c r="AI148" i="1"/>
  <c r="AF44" i="1"/>
  <c r="W28" i="1"/>
  <c r="AC132" i="1"/>
  <c r="K108" i="1"/>
  <c r="AF180" i="1"/>
  <c r="AF148" i="1"/>
  <c r="AI44" i="1"/>
  <c r="K28" i="1"/>
  <c r="AC116" i="1"/>
  <c r="AI172" i="1"/>
  <c r="AI140" i="1"/>
  <c r="T44" i="1"/>
  <c r="H77" i="1"/>
  <c r="N86" i="1"/>
  <c r="T78" i="1"/>
  <c r="W91" i="1"/>
  <c r="K131" i="1"/>
  <c r="AI211" i="1"/>
  <c r="AI99" i="1"/>
  <c r="AF99" i="1"/>
  <c r="AF195" i="1"/>
  <c r="W75" i="1"/>
  <c r="AI179" i="1"/>
  <c r="AF107" i="1"/>
  <c r="T59" i="1"/>
  <c r="T195" i="1"/>
  <c r="N211" i="1"/>
  <c r="W59" i="1"/>
  <c r="W132" i="1"/>
  <c r="W116" i="1"/>
  <c r="AC188" i="1"/>
  <c r="Z180" i="1"/>
  <c r="Z172" i="1"/>
  <c r="AC164" i="1"/>
  <c r="AI156" i="1"/>
  <c r="AC148" i="1"/>
  <c r="AC140" i="1"/>
  <c r="AC124" i="1"/>
  <c r="T76" i="1"/>
  <c r="Q60" i="1"/>
  <c r="AC52" i="1"/>
  <c r="AC44" i="1"/>
  <c r="W36" i="1"/>
  <c r="N28" i="1"/>
  <c r="AC211" i="1"/>
  <c r="Z195" i="1"/>
  <c r="W179" i="1"/>
  <c r="N155" i="1"/>
  <c r="AC107" i="1"/>
  <c r="W99" i="1"/>
  <c r="K91" i="1"/>
  <c r="N75" i="1"/>
  <c r="Q59" i="1"/>
  <c r="AF43" i="1"/>
  <c r="AF35" i="1"/>
  <c r="W156" i="1"/>
  <c r="H163" i="1"/>
  <c r="H52" i="1"/>
  <c r="H155" i="1"/>
  <c r="AI107" i="1"/>
  <c r="H132" i="1"/>
  <c r="AF132" i="1"/>
  <c r="T116" i="1"/>
  <c r="T99" i="1"/>
  <c r="Q108" i="1"/>
  <c r="N43" i="1"/>
  <c r="K52" i="1"/>
  <c r="N188" i="1"/>
  <c r="K172" i="1"/>
  <c r="K164" i="1"/>
  <c r="K156" i="1"/>
  <c r="K148" i="1"/>
  <c r="N140" i="1"/>
  <c r="N124" i="1"/>
  <c r="Z116" i="1"/>
  <c r="AC108" i="1"/>
  <c r="Z76" i="1"/>
  <c r="Z60" i="1"/>
  <c r="Z36" i="1"/>
  <c r="Z28" i="1"/>
  <c r="Q211" i="1"/>
  <c r="AI195" i="1"/>
  <c r="AC179" i="1"/>
  <c r="AF91" i="1"/>
  <c r="Z75" i="1"/>
  <c r="Z59" i="1"/>
  <c r="W27" i="1"/>
  <c r="H172" i="1"/>
  <c r="K75" i="1"/>
  <c r="W35" i="1"/>
  <c r="K171" i="1"/>
  <c r="Q131" i="1"/>
  <c r="N132" i="1"/>
  <c r="AI132" i="1"/>
  <c r="Q116" i="1"/>
  <c r="H171" i="1"/>
  <c r="T124" i="1"/>
  <c r="Q188" i="1"/>
  <c r="W180" i="1"/>
  <c r="T172" i="1"/>
  <c r="Q164" i="1"/>
  <c r="Q156" i="1"/>
  <c r="Q148" i="1"/>
  <c r="K140" i="1"/>
  <c r="Z124" i="1"/>
  <c r="W108" i="1"/>
  <c r="AI76" i="1"/>
  <c r="AC60" i="1"/>
  <c r="N52" i="1"/>
  <c r="N44" i="1"/>
  <c r="AF36" i="1"/>
  <c r="AC28" i="1"/>
  <c r="AI20" i="1"/>
  <c r="T27" i="1"/>
  <c r="K211" i="1"/>
  <c r="N195" i="1"/>
  <c r="T179" i="1"/>
  <c r="Q171" i="1"/>
  <c r="T163" i="1"/>
  <c r="AI75" i="1"/>
  <c r="AC59" i="1"/>
  <c r="T43" i="1"/>
  <c r="Z27" i="1"/>
  <c r="Q180" i="1"/>
  <c r="N164" i="1"/>
  <c r="AC91" i="1"/>
  <c r="W84" i="1"/>
  <c r="H99" i="1"/>
  <c r="Z99" i="1"/>
  <c r="T107" i="1"/>
  <c r="K179" i="1"/>
  <c r="H76" i="1"/>
  <c r="K27" i="1"/>
  <c r="H91" i="1"/>
  <c r="Z188" i="1"/>
  <c r="T180" i="1"/>
  <c r="N172" i="1"/>
  <c r="W164" i="1"/>
  <c r="Z156" i="1"/>
  <c r="T148" i="1"/>
  <c r="Q140" i="1"/>
  <c r="K124" i="1"/>
  <c r="Z108" i="1"/>
  <c r="AF76" i="1"/>
  <c r="AI60" i="1"/>
  <c r="Q52" i="1"/>
  <c r="K44" i="1"/>
  <c r="AI36" i="1"/>
  <c r="AF28" i="1"/>
  <c r="Q163" i="1"/>
  <c r="T211" i="1"/>
  <c r="Q195" i="1"/>
  <c r="N179" i="1"/>
  <c r="W171" i="1"/>
  <c r="N163" i="1"/>
  <c r="AF75" i="1"/>
  <c r="AI59" i="1"/>
  <c r="Z43" i="1"/>
  <c r="Q35" i="1"/>
  <c r="AC27" i="1"/>
  <c r="H116" i="1"/>
  <c r="N76" i="1"/>
  <c r="AC195" i="1"/>
  <c r="AC75" i="1"/>
  <c r="Q132" i="1"/>
  <c r="Q99" i="1"/>
  <c r="AI116" i="1"/>
  <c r="T36" i="1"/>
  <c r="N59" i="1"/>
  <c r="H75" i="1"/>
  <c r="AI188" i="1"/>
  <c r="N180" i="1"/>
  <c r="W172" i="1"/>
  <c r="T164" i="1"/>
  <c r="T156" i="1"/>
  <c r="W148" i="1"/>
  <c r="T140" i="1"/>
  <c r="Q124" i="1"/>
  <c r="K76" i="1"/>
  <c r="N60" i="1"/>
  <c r="AF60" i="1"/>
  <c r="T52" i="1"/>
  <c r="Z44" i="1"/>
  <c r="Q28" i="1"/>
  <c r="AI28" i="1"/>
  <c r="W211" i="1"/>
  <c r="K195" i="1"/>
  <c r="Q179" i="1"/>
  <c r="AI171" i="1"/>
  <c r="AC163" i="1"/>
  <c r="K107" i="1"/>
  <c r="Q75" i="1"/>
  <c r="AF59" i="1"/>
  <c r="W43" i="1"/>
  <c r="AC35" i="1"/>
  <c r="AI27" i="1"/>
  <c r="H156" i="1"/>
  <c r="H60" i="1"/>
  <c r="K163" i="1"/>
  <c r="H179" i="1"/>
  <c r="AF211" i="1"/>
  <c r="AF179" i="1"/>
  <c r="K132" i="1"/>
  <c r="Z140" i="1"/>
  <c r="N156" i="1"/>
  <c r="H195" i="1"/>
  <c r="H59" i="1"/>
  <c r="Q172" i="1"/>
  <c r="H211" i="1"/>
  <c r="H124" i="1"/>
  <c r="Z148" i="1"/>
  <c r="W52" i="1"/>
  <c r="W44" i="1"/>
  <c r="Q27" i="1"/>
  <c r="Z179" i="1"/>
  <c r="T155" i="1"/>
  <c r="AF82" i="1"/>
  <c r="Z146" i="1"/>
  <c r="Z114" i="1"/>
  <c r="AC82" i="1"/>
  <c r="H114" i="1"/>
  <c r="Q42" i="1"/>
  <c r="K26" i="1"/>
  <c r="AI146" i="1"/>
  <c r="AI114" i="1"/>
  <c r="Z82" i="1"/>
  <c r="Z26" i="1"/>
  <c r="Q74" i="1"/>
  <c r="H26" i="1"/>
  <c r="N74" i="1"/>
  <c r="AC42" i="1"/>
  <c r="Q98" i="1"/>
  <c r="K82" i="1"/>
  <c r="Z122" i="1"/>
  <c r="AF114" i="1"/>
  <c r="AC26" i="1"/>
  <c r="W74" i="1"/>
  <c r="Z42" i="1"/>
  <c r="AI98" i="1"/>
  <c r="H98" i="1"/>
  <c r="T98" i="1"/>
  <c r="Q82" i="1"/>
  <c r="W42" i="1"/>
  <c r="K114" i="1"/>
  <c r="K90" i="1"/>
  <c r="H82" i="1"/>
  <c r="AI26" i="1"/>
  <c r="AC74" i="1"/>
  <c r="AI42" i="1"/>
  <c r="W98" i="1"/>
  <c r="N82" i="1"/>
  <c r="AI82" i="1"/>
  <c r="H42" i="1"/>
  <c r="Q114" i="1"/>
  <c r="AC90" i="1"/>
  <c r="T210" i="1"/>
  <c r="W18" i="1"/>
  <c r="N98" i="1"/>
  <c r="Z98" i="1"/>
  <c r="W178" i="1"/>
  <c r="T114" i="1"/>
  <c r="W194" i="1"/>
  <c r="AF106" i="1"/>
  <c r="K98" i="1"/>
  <c r="AC98" i="1"/>
  <c r="AC178" i="1"/>
  <c r="W114" i="1"/>
  <c r="AC194" i="1"/>
  <c r="W82" i="1"/>
  <c r="AC114" i="1"/>
  <c r="N81" i="1"/>
  <c r="T185" i="1"/>
  <c r="T149" i="1"/>
  <c r="W117" i="1"/>
  <c r="Z101" i="1"/>
  <c r="W81" i="1"/>
  <c r="N47" i="1"/>
  <c r="Z135" i="1"/>
  <c r="AI47" i="1"/>
  <c r="N149" i="1"/>
  <c r="K117" i="1"/>
  <c r="AF149" i="1"/>
  <c r="T85" i="1"/>
  <c r="K106" i="1"/>
  <c r="Q106" i="1"/>
  <c r="N38" i="1"/>
  <c r="H106" i="1"/>
  <c r="T106" i="1"/>
  <c r="Q187" i="1"/>
  <c r="W106" i="1"/>
  <c r="T187" i="1"/>
  <c r="T118" i="1"/>
  <c r="Z106" i="1"/>
  <c r="AC106" i="1"/>
  <c r="N106" i="1"/>
  <c r="AF34" i="1"/>
  <c r="AC122" i="1"/>
  <c r="AI122" i="1"/>
  <c r="AF122" i="1"/>
  <c r="K122" i="1"/>
  <c r="Q122" i="1"/>
  <c r="T122" i="1"/>
  <c r="N122" i="1"/>
  <c r="W122" i="1"/>
  <c r="K187" i="1"/>
  <c r="W187" i="1"/>
  <c r="AI155" i="1"/>
  <c r="Z187" i="1"/>
  <c r="K155" i="1"/>
  <c r="Z155" i="1"/>
  <c r="H187" i="1"/>
  <c r="AC187" i="1"/>
  <c r="T19" i="1"/>
  <c r="AF155" i="1"/>
  <c r="AF187" i="1"/>
  <c r="AC67" i="1"/>
  <c r="AI187" i="1"/>
  <c r="AI51" i="1"/>
  <c r="Q155" i="1"/>
  <c r="N34" i="1"/>
  <c r="AI203" i="1"/>
  <c r="AC50" i="1"/>
  <c r="AF50" i="1"/>
  <c r="AI34" i="1"/>
  <c r="Q18" i="1"/>
  <c r="H50" i="1"/>
  <c r="AI50" i="1"/>
  <c r="AC18" i="1"/>
  <c r="H34" i="1"/>
  <c r="Z66" i="1"/>
  <c r="Q34" i="1"/>
  <c r="N18" i="1"/>
  <c r="AI18" i="1"/>
  <c r="K66" i="1"/>
  <c r="Q50" i="1"/>
  <c r="T34" i="1"/>
  <c r="K50" i="1"/>
  <c r="T50" i="1"/>
  <c r="W34" i="1"/>
  <c r="K34" i="1"/>
  <c r="W50" i="1"/>
  <c r="Z34" i="1"/>
  <c r="N50" i="1"/>
  <c r="AC34" i="1"/>
  <c r="AJ73" i="1"/>
  <c r="AJ193" i="1"/>
  <c r="AJ217" i="1"/>
  <c r="AJ192" i="1"/>
  <c r="AJ200" i="1"/>
  <c r="AJ129" i="1"/>
  <c r="AJ113" i="1"/>
  <c r="AJ89" i="1"/>
  <c r="AJ160" i="1"/>
  <c r="AJ144" i="1"/>
  <c r="AJ97" i="1"/>
  <c r="AJ184" i="1"/>
  <c r="Z84" i="1"/>
  <c r="AC84" i="1"/>
  <c r="T202" i="1"/>
  <c r="AF84" i="1"/>
  <c r="W202" i="1"/>
  <c r="H100" i="1"/>
  <c r="W186" i="1"/>
  <c r="Z186" i="1"/>
  <c r="AF100" i="1"/>
  <c r="AI100" i="1"/>
  <c r="H22" i="1"/>
  <c r="Q194" i="1"/>
  <c r="AF194" i="1"/>
  <c r="N194" i="1"/>
  <c r="Z194" i="1"/>
  <c r="Z202" i="1"/>
  <c r="AC186" i="1"/>
  <c r="W77" i="1"/>
  <c r="Q69" i="1"/>
  <c r="AI178" i="1"/>
  <c r="AF146" i="1"/>
  <c r="K46" i="1"/>
  <c r="K22" i="1"/>
  <c r="Q92" i="1"/>
  <c r="W210" i="1"/>
  <c r="AI194" i="1"/>
  <c r="W131" i="1"/>
  <c r="AC54" i="1"/>
  <c r="Z23" i="1"/>
  <c r="W23" i="1"/>
  <c r="Q23" i="1"/>
  <c r="AC31" i="1"/>
  <c r="K31" i="1"/>
  <c r="T39" i="1"/>
  <c r="Q39" i="1"/>
  <c r="AI39" i="1"/>
  <c r="AF55" i="1"/>
  <c r="W55" i="1"/>
  <c r="AC62" i="1"/>
  <c r="N62" i="1"/>
  <c r="AF62" i="1"/>
  <c r="K62" i="1"/>
  <c r="Q70" i="1"/>
  <c r="T70" i="1"/>
  <c r="Q86" i="1"/>
  <c r="K86" i="1"/>
  <c r="AF86" i="1"/>
  <c r="N108" i="1"/>
  <c r="T108" i="1"/>
  <c r="AI108" i="1"/>
  <c r="AF116" i="1"/>
  <c r="AI124" i="1"/>
  <c r="AC155" i="1"/>
  <c r="W155" i="1"/>
  <c r="AF163" i="1"/>
  <c r="AI163" i="1"/>
  <c r="W163" i="1"/>
  <c r="N171" i="1"/>
  <c r="T171" i="1"/>
  <c r="Z171" i="1"/>
  <c r="AF171" i="1"/>
  <c r="W38" i="1"/>
  <c r="T38" i="1"/>
  <c r="AI38" i="1"/>
  <c r="W54" i="1"/>
  <c r="N54" i="1"/>
  <c r="AF54" i="1"/>
  <c r="H54" i="1"/>
  <c r="H61" i="1"/>
  <c r="AF138" i="1"/>
  <c r="AI138" i="1"/>
  <c r="W138" i="1"/>
  <c r="AC85" i="1"/>
  <c r="Q100" i="1"/>
  <c r="AC202" i="1"/>
  <c r="AF186" i="1"/>
  <c r="K138" i="1"/>
  <c r="Z77" i="1"/>
  <c r="T69" i="1"/>
  <c r="K61" i="1"/>
  <c r="N178" i="1"/>
  <c r="W46" i="1"/>
  <c r="W22" i="1"/>
  <c r="AF38" i="1"/>
  <c r="Z54" i="1"/>
  <c r="N24" i="1"/>
  <c r="T24" i="1"/>
  <c r="AF24" i="1"/>
  <c r="AC40" i="1"/>
  <c r="H40" i="1"/>
  <c r="N40" i="1"/>
  <c r="AF40" i="1"/>
  <c r="AF48" i="1"/>
  <c r="Q56" i="1"/>
  <c r="N56" i="1"/>
  <c r="AC56" i="1"/>
  <c r="AF63" i="1"/>
  <c r="AI63" i="1"/>
  <c r="T63" i="1"/>
  <c r="AI71" i="1"/>
  <c r="Z71" i="1"/>
  <c r="AC71" i="1"/>
  <c r="H180" i="1"/>
  <c r="K180" i="1"/>
  <c r="H188" i="1"/>
  <c r="W188" i="1"/>
  <c r="T92" i="1"/>
  <c r="AC92" i="1"/>
  <c r="AI92" i="1"/>
  <c r="AI131" i="1"/>
  <c r="AC131" i="1"/>
  <c r="T131" i="1"/>
  <c r="Q146" i="1"/>
  <c r="Q210" i="1"/>
  <c r="K210" i="1"/>
  <c r="N210" i="1"/>
  <c r="AC210" i="1"/>
  <c r="AF85" i="1"/>
  <c r="K100" i="1"/>
  <c r="T100" i="1"/>
  <c r="N30" i="1"/>
  <c r="AF202" i="1"/>
  <c r="AI186" i="1"/>
  <c r="H162" i="1"/>
  <c r="H46" i="1"/>
  <c r="AC77" i="1"/>
  <c r="W69" i="1"/>
  <c r="W61" i="1"/>
  <c r="T146" i="1"/>
  <c r="Q46" i="1"/>
  <c r="Q22" i="1"/>
  <c r="W92" i="1"/>
  <c r="AI210" i="1"/>
  <c r="T138" i="1"/>
  <c r="H131" i="1"/>
  <c r="AF131" i="1"/>
  <c r="AI54" i="1"/>
  <c r="H69" i="1"/>
  <c r="Q138" i="1"/>
  <c r="T80" i="1"/>
  <c r="Q80" i="1"/>
  <c r="AI80" i="1"/>
  <c r="N80" i="1"/>
  <c r="T95" i="1"/>
  <c r="AI95" i="1"/>
  <c r="W95" i="1"/>
  <c r="Q95" i="1"/>
  <c r="Z103" i="1"/>
  <c r="W103" i="1"/>
  <c r="N103" i="1"/>
  <c r="Q110" i="1"/>
  <c r="K110" i="1"/>
  <c r="AI110" i="1"/>
  <c r="AF126" i="1"/>
  <c r="AI126" i="1"/>
  <c r="H126" i="1"/>
  <c r="W126" i="1"/>
  <c r="H157" i="1"/>
  <c r="T157" i="1"/>
  <c r="N181" i="1"/>
  <c r="N189" i="1"/>
  <c r="Q189" i="1"/>
  <c r="H197" i="1"/>
  <c r="H213" i="1"/>
  <c r="H178" i="1"/>
  <c r="AI85" i="1"/>
  <c r="W100" i="1"/>
  <c r="N186" i="1"/>
  <c r="K202" i="1"/>
  <c r="H202" i="1"/>
  <c r="H30" i="1"/>
  <c r="AI202" i="1"/>
  <c r="Q170" i="1"/>
  <c r="K92" i="1"/>
  <c r="H92" i="1"/>
  <c r="AI77" i="1"/>
  <c r="Z69" i="1"/>
  <c r="Z61" i="1"/>
  <c r="K178" i="1"/>
  <c r="N146" i="1"/>
  <c r="T46" i="1"/>
  <c r="T22" i="1"/>
  <c r="Z92" i="1"/>
  <c r="AF210" i="1"/>
  <c r="N138" i="1"/>
  <c r="Z162" i="1"/>
  <c r="Z18" i="1"/>
  <c r="T18" i="1"/>
  <c r="W26" i="1"/>
  <c r="T26" i="1"/>
  <c r="Q26" i="1"/>
  <c r="AF26" i="1"/>
  <c r="N42" i="1"/>
  <c r="T42" i="1"/>
  <c r="AF42" i="1"/>
  <c r="AI65" i="1"/>
  <c r="N88" i="1"/>
  <c r="T88" i="1"/>
  <c r="Z88" i="1"/>
  <c r="Z104" i="1"/>
  <c r="N104" i="1"/>
  <c r="AF104" i="1"/>
  <c r="W111" i="1"/>
  <c r="Z111" i="1"/>
  <c r="N111" i="1"/>
  <c r="AC127" i="1"/>
  <c r="Z127" i="1"/>
  <c r="Q127" i="1"/>
  <c r="T142" i="1"/>
  <c r="Z142" i="1"/>
  <c r="AF150" i="1"/>
  <c r="Z100" i="1"/>
  <c r="N170" i="1"/>
  <c r="K186" i="1"/>
  <c r="H186" i="1"/>
  <c r="N202" i="1"/>
  <c r="Q186" i="1"/>
  <c r="T170" i="1"/>
  <c r="Q30" i="1"/>
  <c r="H146" i="1"/>
  <c r="H38" i="1"/>
  <c r="N77" i="1"/>
  <c r="AF77" i="1"/>
  <c r="AC69" i="1"/>
  <c r="AF61" i="1"/>
  <c r="Z178" i="1"/>
  <c r="AC146" i="1"/>
  <c r="N46" i="1"/>
  <c r="AC22" i="1"/>
  <c r="H194" i="1"/>
  <c r="AF92" i="1"/>
  <c r="K194" i="1"/>
  <c r="AC138" i="1"/>
  <c r="K38" i="1"/>
  <c r="T178" i="1"/>
  <c r="N27" i="1"/>
  <c r="AF27" i="1"/>
  <c r="Z35" i="1"/>
  <c r="T35" i="1"/>
  <c r="K35" i="1"/>
  <c r="H35" i="1"/>
  <c r="N35" i="1"/>
  <c r="K43" i="1"/>
  <c r="Q43" i="1"/>
  <c r="H43" i="1"/>
  <c r="AC43" i="1"/>
  <c r="Z74" i="1"/>
  <c r="H74" i="1"/>
  <c r="T74" i="1"/>
  <c r="K74" i="1"/>
  <c r="AI74" i="1"/>
  <c r="H85" i="1"/>
  <c r="Q85" i="1"/>
  <c r="N100" i="1"/>
  <c r="AC100" i="1"/>
  <c r="H170" i="1"/>
  <c r="T186" i="1"/>
  <c r="K54" i="1"/>
  <c r="K77" i="1"/>
  <c r="AI69" i="1"/>
  <c r="AI61" i="1"/>
  <c r="AF178" i="1"/>
  <c r="W146" i="1"/>
  <c r="AC46" i="1"/>
  <c r="AI22" i="1"/>
  <c r="T194" i="1"/>
  <c r="Z138" i="1"/>
  <c r="Q38" i="1"/>
  <c r="H210" i="1"/>
  <c r="N131" i="1"/>
  <c r="T208" i="1"/>
  <c r="W208" i="1"/>
  <c r="AF216" i="1"/>
  <c r="Q91" i="1"/>
  <c r="T91" i="1"/>
  <c r="AI91" i="1"/>
  <c r="Z91" i="1"/>
  <c r="AC99" i="1"/>
  <c r="K99" i="1"/>
  <c r="Z107" i="1"/>
  <c r="W107" i="1"/>
  <c r="N107" i="1"/>
  <c r="H107" i="1"/>
  <c r="AC119" i="1"/>
  <c r="W134" i="1"/>
  <c r="AC66" i="1"/>
  <c r="T174" i="1"/>
  <c r="Q174" i="1"/>
  <c r="N119" i="1"/>
  <c r="H119" i="1"/>
  <c r="AF119" i="1"/>
  <c r="H66" i="1"/>
  <c r="Z134" i="1"/>
  <c r="AF66" i="1"/>
  <c r="K174" i="1"/>
  <c r="N51" i="1"/>
  <c r="H51" i="1"/>
  <c r="AI119" i="1"/>
  <c r="N134" i="1"/>
  <c r="AC134" i="1"/>
  <c r="AI66" i="1"/>
  <c r="W174" i="1"/>
  <c r="AF134" i="1"/>
  <c r="Z174" i="1"/>
  <c r="N203" i="1"/>
  <c r="Q119" i="1"/>
  <c r="K134" i="1"/>
  <c r="AI134" i="1"/>
  <c r="Q66" i="1"/>
  <c r="AC174" i="1"/>
  <c r="K119" i="1"/>
  <c r="Q203" i="1"/>
  <c r="T119" i="1"/>
  <c r="Q51" i="1"/>
  <c r="N66" i="1"/>
  <c r="T66" i="1"/>
  <c r="AF174" i="1"/>
  <c r="H134" i="1"/>
  <c r="N204" i="1"/>
  <c r="Z151" i="1"/>
  <c r="AC135" i="1"/>
  <c r="AF67" i="1"/>
  <c r="K105" i="1"/>
  <c r="AF105" i="1"/>
  <c r="K20" i="1"/>
  <c r="H20" i="1"/>
  <c r="Q20" i="1"/>
  <c r="Q204" i="1"/>
  <c r="H151" i="1"/>
  <c r="AC151" i="1"/>
  <c r="AF135" i="1"/>
  <c r="AI67" i="1"/>
  <c r="Q105" i="1"/>
  <c r="T20" i="1"/>
  <c r="H204" i="1"/>
  <c r="T204" i="1"/>
  <c r="K151" i="1"/>
  <c r="H135" i="1"/>
  <c r="AF151" i="1"/>
  <c r="AI135" i="1"/>
  <c r="T105" i="1"/>
  <c r="N20" i="1"/>
  <c r="W204" i="1"/>
  <c r="N151" i="1"/>
  <c r="K135" i="1"/>
  <c r="AI151" i="1"/>
  <c r="Q67" i="1"/>
  <c r="N105" i="1"/>
  <c r="W20" i="1"/>
  <c r="Z204" i="1"/>
  <c r="N135" i="1"/>
  <c r="H67" i="1"/>
  <c r="Q135" i="1"/>
  <c r="T67" i="1"/>
  <c r="W105" i="1"/>
  <c r="AC20" i="1"/>
  <c r="K204" i="1"/>
  <c r="AC204" i="1"/>
  <c r="K67" i="1"/>
  <c r="Q151" i="1"/>
  <c r="T135" i="1"/>
  <c r="W67" i="1"/>
  <c r="AC105" i="1"/>
  <c r="Z20" i="1"/>
  <c r="AF204" i="1"/>
  <c r="N67" i="1"/>
  <c r="H105" i="1"/>
  <c r="Z105" i="1"/>
  <c r="W68" i="1"/>
  <c r="N121" i="1"/>
  <c r="K53" i="1"/>
  <c r="K152" i="1"/>
  <c r="AC121" i="1"/>
  <c r="Z53" i="1"/>
  <c r="Q53" i="1"/>
  <c r="W121" i="1"/>
  <c r="W53" i="1"/>
  <c r="T53" i="1"/>
  <c r="T168" i="1"/>
  <c r="H121" i="1"/>
  <c r="AC53" i="1"/>
  <c r="W152" i="1"/>
  <c r="AF53" i="1"/>
  <c r="Z136" i="1"/>
  <c r="AI53" i="1"/>
  <c r="K136" i="1"/>
  <c r="H152" i="1"/>
  <c r="W168" i="1"/>
  <c r="Z152" i="1"/>
  <c r="AC136" i="1"/>
  <c r="Z68" i="1"/>
  <c r="N83" i="1"/>
  <c r="K83" i="1"/>
  <c r="H83" i="1"/>
  <c r="Q83" i="1"/>
  <c r="W205" i="1"/>
  <c r="H136" i="1"/>
  <c r="Z168" i="1"/>
  <c r="AC152" i="1"/>
  <c r="AF136" i="1"/>
  <c r="AC68" i="1"/>
  <c r="T83" i="1"/>
  <c r="Z205" i="1"/>
  <c r="N68" i="1"/>
  <c r="AC168" i="1"/>
  <c r="AF152" i="1"/>
  <c r="AI136" i="1"/>
  <c r="AF68" i="1"/>
  <c r="W83" i="1"/>
  <c r="AI205" i="1"/>
  <c r="K68" i="1"/>
  <c r="AF168" i="1"/>
  <c r="AI152" i="1"/>
  <c r="AI68" i="1"/>
  <c r="Z83" i="1"/>
  <c r="AF205" i="1"/>
  <c r="N168" i="1"/>
  <c r="H68" i="1"/>
  <c r="AI168" i="1"/>
  <c r="Q136" i="1"/>
  <c r="AC83" i="1"/>
  <c r="AC205" i="1"/>
  <c r="N152" i="1"/>
  <c r="Q152" i="1"/>
  <c r="T136" i="1"/>
  <c r="Q68" i="1"/>
  <c r="AF83" i="1"/>
  <c r="T205" i="1"/>
  <c r="N136" i="1"/>
  <c r="K168" i="1"/>
  <c r="Q168" i="1"/>
  <c r="T68" i="1"/>
  <c r="AI83" i="1"/>
  <c r="K205" i="1"/>
  <c r="N205" i="1"/>
  <c r="AF130" i="1"/>
  <c r="N130" i="1"/>
  <c r="AI130" i="1"/>
  <c r="AC130" i="1"/>
  <c r="Z130" i="1"/>
  <c r="T130" i="1"/>
  <c r="H130" i="1"/>
  <c r="Q130" i="1"/>
  <c r="Z137" i="1"/>
  <c r="W137" i="1"/>
  <c r="Q137" i="1"/>
  <c r="T137" i="1"/>
  <c r="K137" i="1"/>
  <c r="N137" i="1"/>
  <c r="AI137" i="1"/>
  <c r="AC137" i="1"/>
  <c r="W145" i="1"/>
  <c r="Q145" i="1"/>
  <c r="K145" i="1"/>
  <c r="T145" i="1"/>
  <c r="N145" i="1"/>
  <c r="Z145" i="1"/>
  <c r="AI145" i="1"/>
  <c r="AF145" i="1"/>
  <c r="K153" i="1"/>
  <c r="AI153" i="1"/>
  <c r="AF153" i="1"/>
  <c r="AC153" i="1"/>
  <c r="N153" i="1"/>
  <c r="Z153" i="1"/>
  <c r="W153" i="1"/>
  <c r="H153" i="1"/>
  <c r="T153" i="1"/>
  <c r="W161" i="1"/>
  <c r="Z161" i="1"/>
  <c r="T161" i="1"/>
  <c r="Q161" i="1"/>
  <c r="K161" i="1"/>
  <c r="N161" i="1"/>
  <c r="AI161" i="1"/>
  <c r="AF161" i="1"/>
  <c r="AI169" i="1"/>
  <c r="AF169" i="1"/>
  <c r="K169" i="1"/>
  <c r="AC169" i="1"/>
  <c r="Z169" i="1"/>
  <c r="W169" i="1"/>
  <c r="N169" i="1"/>
  <c r="T169" i="1"/>
  <c r="Q169" i="1"/>
  <c r="H169" i="1"/>
  <c r="N176" i="1"/>
  <c r="T176" i="1"/>
  <c r="W176" i="1"/>
  <c r="H176" i="1"/>
  <c r="K176" i="1"/>
  <c r="Q176" i="1"/>
  <c r="AF176" i="1"/>
  <c r="AI176" i="1"/>
  <c r="Z176" i="1"/>
  <c r="Q198" i="1"/>
  <c r="AF198" i="1"/>
  <c r="N198" i="1"/>
  <c r="AI198" i="1"/>
  <c r="AC198" i="1"/>
  <c r="Z198" i="1"/>
  <c r="W198" i="1"/>
  <c r="H198" i="1"/>
  <c r="T198" i="1"/>
  <c r="AC212" i="1"/>
  <c r="AF212" i="1"/>
  <c r="W212" i="1"/>
  <c r="K212" i="1"/>
  <c r="T212" i="1"/>
  <c r="Z212" i="1"/>
  <c r="Q212" i="1"/>
  <c r="N212" i="1"/>
  <c r="AC115" i="1"/>
  <c r="Z115" i="1"/>
  <c r="W115" i="1"/>
  <c r="T115" i="1"/>
  <c r="Q115" i="1"/>
  <c r="H115" i="1"/>
  <c r="K115" i="1"/>
  <c r="AI115" i="1"/>
  <c r="N115" i="1"/>
  <c r="AF123" i="1"/>
  <c r="N123" i="1"/>
  <c r="AI123" i="1"/>
  <c r="Z123" i="1"/>
  <c r="W123" i="1"/>
  <c r="T123" i="1"/>
  <c r="H123" i="1"/>
  <c r="Q123" i="1"/>
  <c r="K123" i="1"/>
  <c r="W25" i="1"/>
  <c r="AC25" i="1"/>
  <c r="N25" i="1"/>
  <c r="AI33" i="1"/>
  <c r="AF33" i="1"/>
  <c r="K33" i="1"/>
  <c r="AC33" i="1"/>
  <c r="Z33" i="1"/>
  <c r="W33" i="1"/>
  <c r="N33" i="1"/>
  <c r="T33" i="1"/>
  <c r="Q33" i="1"/>
  <c r="H33" i="1"/>
  <c r="Z41" i="1"/>
  <c r="W41" i="1"/>
  <c r="AC41" i="1"/>
  <c r="H41" i="1"/>
  <c r="AI41" i="1"/>
  <c r="K41" i="1"/>
  <c r="N41" i="1"/>
  <c r="T41" i="1"/>
  <c r="Q41" i="1"/>
  <c r="AF49" i="1"/>
  <c r="AC49" i="1"/>
  <c r="Z49" i="1"/>
  <c r="K49" i="1"/>
  <c r="W49" i="1"/>
  <c r="T49" i="1"/>
  <c r="Q49" i="1"/>
  <c r="N49" i="1"/>
  <c r="Z57" i="1"/>
  <c r="AI57" i="1"/>
  <c r="H57" i="1"/>
  <c r="Q57" i="1"/>
  <c r="AF57" i="1"/>
  <c r="W57" i="1"/>
  <c r="AC57" i="1"/>
  <c r="K57" i="1"/>
  <c r="N64" i="1"/>
  <c r="AI64" i="1"/>
  <c r="AF64" i="1"/>
  <c r="AC64" i="1"/>
  <c r="H64" i="1"/>
  <c r="W87" i="1"/>
  <c r="K87" i="1"/>
  <c r="N87" i="1"/>
  <c r="T87" i="1"/>
  <c r="AC87" i="1"/>
  <c r="AI87" i="1"/>
  <c r="AF87" i="1"/>
  <c r="H87" i="1"/>
  <c r="Q87" i="1"/>
  <c r="H94" i="1"/>
  <c r="AI94" i="1"/>
  <c r="T94" i="1"/>
  <c r="AF94" i="1"/>
  <c r="AC94" i="1"/>
  <c r="W94" i="1"/>
  <c r="Q94" i="1"/>
  <c r="Z94" i="1"/>
  <c r="K94" i="1"/>
  <c r="AF102" i="1"/>
  <c r="N102" i="1"/>
  <c r="AC102" i="1"/>
  <c r="Z102" i="1"/>
  <c r="H102" i="1"/>
  <c r="W102" i="1"/>
  <c r="T102" i="1"/>
  <c r="Q102" i="1"/>
  <c r="K102" i="1"/>
  <c r="K130" i="1"/>
  <c r="T57" i="1"/>
  <c r="H137" i="1"/>
  <c r="T25" i="1"/>
  <c r="Q25" i="1"/>
  <c r="AF25" i="1"/>
  <c r="K25" i="1"/>
  <c r="AI25" i="1"/>
  <c r="H25" i="1"/>
  <c r="T84" i="1"/>
  <c r="H84" i="1"/>
  <c r="Q84" i="1"/>
  <c r="AI84" i="1"/>
  <c r="K84" i="1"/>
  <c r="AF90" i="1"/>
  <c r="H90" i="1"/>
  <c r="Z90" i="1"/>
  <c r="W90" i="1"/>
  <c r="T90" i="1"/>
  <c r="Q90" i="1"/>
  <c r="N90" i="1"/>
  <c r="AI90" i="1"/>
  <c r="K154" i="1"/>
  <c r="N154" i="1"/>
  <c r="AI154" i="1"/>
  <c r="T154" i="1"/>
  <c r="H154" i="1"/>
  <c r="AF154" i="1"/>
  <c r="AC154" i="1"/>
  <c r="Z154" i="1"/>
  <c r="W154" i="1"/>
  <c r="Q162" i="1"/>
  <c r="K162" i="1"/>
  <c r="N162" i="1"/>
  <c r="AI162" i="1"/>
  <c r="T162" i="1"/>
  <c r="AC162" i="1"/>
  <c r="AF162" i="1"/>
  <c r="W162" i="1"/>
  <c r="AF170" i="1"/>
  <c r="AC170" i="1"/>
  <c r="Z170" i="1"/>
  <c r="K170" i="1"/>
  <c r="W170" i="1"/>
  <c r="AI177" i="1"/>
  <c r="AC177" i="1"/>
  <c r="N177" i="1"/>
  <c r="W177" i="1"/>
  <c r="T177" i="1"/>
  <c r="H177" i="1"/>
  <c r="W79" i="1"/>
  <c r="AC79" i="1"/>
  <c r="K79" i="1"/>
  <c r="N79" i="1"/>
  <c r="T79" i="1"/>
  <c r="Q79" i="1"/>
  <c r="AF79" i="1"/>
  <c r="H79" i="1"/>
  <c r="AI79" i="1"/>
  <c r="N139" i="1"/>
  <c r="W139" i="1"/>
  <c r="Q139" i="1"/>
  <c r="H139" i="1"/>
  <c r="K139" i="1"/>
  <c r="AF139" i="1"/>
  <c r="AI139" i="1"/>
  <c r="Z139" i="1"/>
  <c r="AC139" i="1"/>
  <c r="T147" i="1"/>
  <c r="Q147" i="1"/>
  <c r="N147" i="1"/>
  <c r="K147" i="1"/>
  <c r="AF147" i="1"/>
  <c r="H147" i="1"/>
  <c r="AI147" i="1"/>
  <c r="AC147" i="1"/>
  <c r="Z147" i="1"/>
  <c r="AC19" i="1"/>
  <c r="W19" i="1"/>
  <c r="N19" i="1"/>
  <c r="A17" i="1"/>
  <c r="Q19" i="1"/>
  <c r="AI19" i="1"/>
  <c r="AF19" i="1"/>
  <c r="Z64" i="1"/>
  <c r="W64" i="1"/>
  <c r="K64" i="1"/>
  <c r="T64" i="1"/>
  <c r="Q64" i="1"/>
  <c r="T72" i="1"/>
  <c r="Q72" i="1"/>
  <c r="W72" i="1"/>
  <c r="K72" i="1"/>
  <c r="H72" i="1"/>
  <c r="N72" i="1"/>
  <c r="AF72" i="1"/>
  <c r="AI72" i="1"/>
  <c r="Z72" i="1"/>
  <c r="K58" i="1"/>
  <c r="T58" i="1"/>
  <c r="Q58" i="1"/>
  <c r="AF58" i="1"/>
  <c r="AI58" i="1"/>
  <c r="Z58" i="1"/>
  <c r="H58" i="1"/>
  <c r="W58" i="1"/>
  <c r="AC58" i="1"/>
  <c r="AF51" i="1"/>
  <c r="AC51" i="1"/>
  <c r="Z51" i="1"/>
  <c r="K51" i="1"/>
  <c r="W51" i="1"/>
  <c r="AC203" i="1"/>
  <c r="H203" i="1"/>
  <c r="Z203" i="1"/>
  <c r="W203" i="1"/>
  <c r="T203" i="1"/>
  <c r="K203" i="1"/>
  <c r="N209" i="1"/>
  <c r="H209" i="1"/>
  <c r="T209" i="1"/>
  <c r="AC209" i="1"/>
  <c r="AF209" i="1"/>
  <c r="K209" i="1"/>
  <c r="AI30" i="1"/>
  <c r="AF30" i="1"/>
  <c r="K30" i="1"/>
  <c r="AC30" i="1"/>
  <c r="Z30" i="1"/>
  <c r="T37" i="1"/>
  <c r="Q37" i="1"/>
  <c r="AF37" i="1"/>
  <c r="AI37" i="1"/>
  <c r="H37" i="1"/>
  <c r="K37" i="1"/>
  <c r="T45" i="1"/>
  <c r="H45" i="1"/>
  <c r="Q45" i="1"/>
  <c r="AF45" i="1"/>
  <c r="AI45" i="1"/>
  <c r="T121" i="1"/>
  <c r="Q121" i="1"/>
  <c r="K121" i="1"/>
  <c r="AF121" i="1"/>
  <c r="AI121" i="1"/>
  <c r="Z196" i="1"/>
  <c r="AI196" i="1"/>
  <c r="W196" i="1"/>
  <c r="K196" i="1"/>
  <c r="Q196" i="1"/>
  <c r="N196" i="1"/>
  <c r="T196" i="1"/>
  <c r="H196" i="1"/>
  <c r="AC196" i="1"/>
  <c r="K96" i="1"/>
  <c r="W96" i="1"/>
  <c r="H96" i="1"/>
  <c r="N96" i="1"/>
  <c r="T96" i="1"/>
  <c r="Q96" i="1"/>
  <c r="AF96" i="1"/>
  <c r="AI96" i="1"/>
  <c r="Z96" i="1"/>
  <c r="AI183" i="1"/>
  <c r="AF183" i="1"/>
  <c r="K183" i="1"/>
  <c r="AC183" i="1"/>
  <c r="Z183" i="1"/>
  <c r="AC190" i="1"/>
  <c r="Z190" i="1"/>
  <c r="W190" i="1"/>
  <c r="T190" i="1"/>
  <c r="H190" i="1"/>
  <c r="A16" i="1"/>
  <c r="AJ126" i="1" a="1"/>
  <c r="AJ128" i="1" a="1"/>
  <c r="AJ127" i="1" a="1"/>
  <c r="AJ157" i="1" a="1"/>
  <c r="AJ133" i="1" a="1"/>
  <c r="AJ199" i="1" a="1"/>
  <c r="AJ162" i="1" a="1"/>
  <c r="AJ22" i="1" a="1"/>
  <c r="AJ147" i="1" a="1"/>
  <c r="AJ80" i="1" a="1"/>
  <c r="AJ189" i="1" a="1"/>
  <c r="AJ155" i="1" a="1"/>
  <c r="AJ164" i="1" a="1"/>
  <c r="AJ175" i="1" a="1"/>
  <c r="AJ146" i="1" a="1"/>
  <c r="AJ213" i="1" a="1"/>
  <c r="AJ56" i="1" a="1"/>
  <c r="AJ96" i="1" a="1"/>
  <c r="AJ163" i="1" a="1"/>
  <c r="AJ204" i="1" a="1"/>
  <c r="AJ166" i="1" a="1"/>
  <c r="AJ81" i="1" a="1"/>
  <c r="AJ47" i="1" a="1"/>
  <c r="AJ187" i="1" a="1"/>
  <c r="AJ143" i="1" a="1"/>
  <c r="AJ111" i="1" a="1"/>
  <c r="AJ181" i="1" a="1"/>
  <c r="AJ116" i="1" a="1"/>
  <c r="AJ194" i="1" a="1"/>
  <c r="AJ21" i="1" a="1"/>
  <c r="AJ23" i="1" a="1"/>
  <c r="AJ138" i="1" a="1"/>
  <c r="AJ90" i="1" a="1"/>
  <c r="AJ86" i="1" a="1"/>
  <c r="AJ142" i="1" a="1"/>
  <c r="AJ172" i="1" a="1"/>
  <c r="AJ205" i="1" a="1"/>
  <c r="AJ74" i="1" a="1"/>
  <c r="AJ139" i="1" a="1"/>
  <c r="AJ77" i="1" a="1"/>
  <c r="AJ178" i="1" a="1"/>
  <c r="AJ60" i="1" a="1"/>
  <c r="AJ59" i="1" a="1"/>
  <c r="AJ136" i="1" a="1"/>
  <c r="AJ168" i="1" a="1"/>
  <c r="AJ30" i="1" a="1"/>
  <c r="AJ98" i="1" a="1"/>
  <c r="AJ134" i="1" a="1"/>
  <c r="AJ152" i="1" a="1"/>
  <c r="AJ180" i="1" a="1"/>
  <c r="AJ57" i="1" a="1"/>
  <c r="AJ83" i="1" a="1"/>
  <c r="AJ153" i="1" a="1"/>
  <c r="AJ169" i="1" a="1"/>
  <c r="AJ117" i="1" a="1"/>
  <c r="AJ20" i="1" a="1"/>
  <c r="AJ174" i="1" a="1"/>
  <c r="AJ167" i="1" a="1"/>
  <c r="AJ66" i="1" a="1"/>
  <c r="AJ72" i="1" a="1"/>
  <c r="AJ182" i="1" a="1"/>
  <c r="AJ19" i="1" a="1"/>
  <c r="AJ171" i="1" a="1"/>
  <c r="AJ104" i="1" a="1"/>
  <c r="AJ154" i="1" a="1"/>
  <c r="AJ208" i="1" a="1"/>
  <c r="AJ191" i="1" a="1"/>
  <c r="AJ211" i="1" a="1"/>
  <c r="AJ27" i="1" a="1"/>
  <c r="AJ88" i="1" a="1"/>
  <c r="AJ82" i="1" a="1"/>
  <c r="AJ161" i="1" a="1"/>
  <c r="AJ53" i="1" a="1"/>
  <c r="AJ45" i="1" a="1"/>
  <c r="AJ141" i="1" a="1"/>
  <c r="AJ112" i="1" a="1"/>
  <c r="AJ54" i="1" a="1"/>
  <c r="AJ149" i="1" a="1"/>
  <c r="AJ102" i="1" a="1"/>
  <c r="AJ186" i="1" a="1"/>
  <c r="AJ101" i="1" a="1"/>
  <c r="AJ51" i="1" a="1"/>
  <c r="AJ185" i="1" a="1"/>
  <c r="AJ39" i="1" a="1"/>
  <c r="AJ32" i="1" a="1"/>
  <c r="AJ135" i="1" a="1"/>
  <c r="AJ67" i="1" a="1"/>
  <c r="AJ50" i="1" a="1"/>
  <c r="AJ25" i="1" a="1"/>
  <c r="AJ165" i="1" a="1"/>
  <c r="AJ94" i="1" a="1"/>
  <c r="AJ115" i="1" a="1"/>
  <c r="AJ40" i="1" a="1"/>
  <c r="AJ43" i="1" a="1"/>
  <c r="AJ158" i="1" a="1"/>
  <c r="AJ131" i="1" a="1"/>
  <c r="AJ209" i="1" a="1"/>
  <c r="AJ156" i="1" a="1"/>
  <c r="AJ62" i="1" a="1"/>
  <c r="AJ179" i="1" a="1"/>
  <c r="AJ123" i="1" a="1"/>
  <c r="AJ125" i="1" a="1"/>
  <c r="AJ63" i="1" a="1"/>
  <c r="AJ95" i="1" a="1"/>
  <c r="AJ216" i="1" a="1"/>
  <c r="AJ99" i="1" a="1"/>
  <c r="AJ207" i="1" a="1"/>
  <c r="AJ183" i="1" a="1"/>
  <c r="AJ176" i="1" a="1"/>
  <c r="AJ124" i="1" a="1"/>
  <c r="AJ177" i="1" a="1"/>
  <c r="AJ26" i="1" a="1"/>
  <c r="AJ69" i="1" a="1"/>
  <c r="AJ44" i="1" a="1"/>
  <c r="AJ190" i="1" a="1"/>
  <c r="AJ36" i="1" a="1"/>
  <c r="AJ105" i="1" a="1"/>
  <c r="AJ93" i="1" a="1"/>
  <c r="AJ76" i="1" a="1"/>
  <c r="AJ188" i="1" a="1"/>
  <c r="AJ206" i="1" a="1"/>
  <c r="AJ201" i="1" a="1"/>
  <c r="AJ58" i="1" a="1"/>
  <c r="AJ148" i="1" a="1"/>
  <c r="AJ29" i="1" a="1"/>
  <c r="AJ38" i="1" a="1"/>
  <c r="AJ33" i="1" a="1"/>
  <c r="AJ64" i="1" a="1"/>
  <c r="AJ203" i="1" a="1"/>
  <c r="AJ55" i="1" a="1"/>
  <c r="AJ210" i="1" a="1"/>
  <c r="AJ41" i="1" a="1"/>
  <c r="AJ122" i="1" a="1"/>
  <c r="AJ198" i="1" a="1"/>
  <c r="AJ215" i="1" a="1"/>
  <c r="AJ159" i="1" a="1"/>
  <c r="AJ145" i="1" a="1"/>
  <c r="AJ195" i="1" a="1"/>
  <c r="AJ150" i="1" a="1"/>
  <c r="AJ65" i="1" a="1"/>
  <c r="AJ196" i="1" a="1"/>
  <c r="AJ46" i="1" a="1"/>
  <c r="AJ103" i="1" a="1"/>
  <c r="AJ52" i="1" a="1"/>
  <c r="AJ109" i="1" a="1"/>
  <c r="AJ214" i="1" a="1"/>
  <c r="AJ137" i="1" a="1"/>
  <c r="AJ170" i="1" a="1"/>
  <c r="AJ132" i="1" a="1"/>
  <c r="AJ151" i="1" a="1"/>
  <c r="AJ100" i="1" a="1"/>
  <c r="AJ84" i="1" a="1"/>
  <c r="AJ35" i="1" a="1"/>
  <c r="AJ120" i="1" a="1"/>
  <c r="AJ28" i="1" a="1"/>
  <c r="AJ197" i="1" a="1"/>
  <c r="AJ212" i="1" a="1"/>
  <c r="AJ202" i="1" a="1"/>
  <c r="AJ37" i="1" a="1"/>
  <c r="AJ75" i="1" a="1"/>
  <c r="AJ121" i="1" a="1"/>
  <c r="AJ42" i="1" a="1"/>
  <c r="AJ48" i="1" a="1"/>
  <c r="AJ71" i="1" a="1"/>
  <c r="AJ114" i="1" a="1"/>
  <c r="AJ87" i="1" a="1"/>
  <c r="AJ173" i="1" a="1"/>
  <c r="AJ31" i="1" a="1"/>
  <c r="AJ107" i="1" a="1"/>
  <c r="AJ140" i="1" a="1"/>
  <c r="AJ79" i="1" a="1"/>
  <c r="AJ61" i="1" a="1"/>
  <c r="AJ24" i="1" a="1"/>
  <c r="AJ91" i="1" a="1"/>
  <c r="AJ108" i="1" a="1"/>
  <c r="AJ130" i="1" a="1"/>
  <c r="AJ119" i="1" a="1"/>
  <c r="AJ85" i="1" a="1"/>
  <c r="AJ68" i="1" a="1"/>
  <c r="AJ49" i="1" a="1"/>
  <c r="AJ118" i="1" a="1"/>
  <c r="AJ78" i="1" a="1"/>
  <c r="AJ106" i="1" a="1"/>
  <c r="AJ92" i="1" a="1"/>
  <c r="AJ18" i="1" a="1"/>
  <c r="AJ70" i="1" a="1"/>
  <c r="AJ110" i="1" a="1"/>
  <c r="AJ34" i="1" a="1"/>
  <c r="AJ112" i="1" l="1"/>
  <c r="AJ109" i="1"/>
  <c r="AJ165" i="1"/>
  <c r="AJ141" i="1"/>
  <c r="AJ173" i="1"/>
  <c r="AJ206" i="1"/>
  <c r="AJ125" i="1"/>
  <c r="AJ166" i="1"/>
  <c r="AJ158" i="1"/>
  <c r="AJ201" i="1"/>
  <c r="AJ214" i="1"/>
  <c r="AJ182" i="1"/>
  <c r="AJ128" i="1"/>
  <c r="AJ32" i="1"/>
  <c r="AJ120" i="1"/>
  <c r="AJ133" i="1"/>
  <c r="U218" i="1"/>
  <c r="F218" i="1"/>
  <c r="F221" i="1" s="1"/>
  <c r="AD218" i="1"/>
  <c r="O218" i="1"/>
  <c r="R218" i="1"/>
  <c r="R221" i="1" s="1"/>
  <c r="L218" i="1"/>
  <c r="X218" i="1"/>
  <c r="X221" i="1" s="1"/>
  <c r="I218" i="1"/>
  <c r="AA218" i="1"/>
  <c r="AG218" i="1"/>
  <c r="AJ199" i="1"/>
  <c r="AJ207" i="1"/>
  <c r="AJ191" i="1"/>
  <c r="AJ167" i="1"/>
  <c r="AJ159" i="1"/>
  <c r="AJ175" i="1"/>
  <c r="AJ215" i="1"/>
  <c r="AJ143" i="1"/>
  <c r="AJ29" i="1"/>
  <c r="AJ93" i="1"/>
  <c r="AJ21" i="1"/>
  <c r="AJ78" i="1"/>
  <c r="AJ148" i="1"/>
  <c r="AJ75" i="1"/>
  <c r="AJ195" i="1"/>
  <c r="AJ156" i="1"/>
  <c r="AJ28" i="1"/>
  <c r="AJ60" i="1"/>
  <c r="AJ44" i="1"/>
  <c r="AJ164" i="1"/>
  <c r="AJ132" i="1"/>
  <c r="AJ52" i="1"/>
  <c r="AJ172" i="1"/>
  <c r="AJ179" i="1"/>
  <c r="AJ211" i="1"/>
  <c r="AJ59" i="1"/>
  <c r="AJ76" i="1"/>
  <c r="AJ36" i="1"/>
  <c r="AJ140" i="1"/>
  <c r="AJ98" i="1"/>
  <c r="AJ114" i="1"/>
  <c r="AJ82" i="1"/>
  <c r="AJ117" i="1"/>
  <c r="AJ185" i="1"/>
  <c r="AJ47" i="1"/>
  <c r="AJ149" i="1"/>
  <c r="AJ81" i="1"/>
  <c r="AJ101" i="1"/>
  <c r="AJ118" i="1"/>
  <c r="AJ106" i="1"/>
  <c r="AJ122" i="1"/>
  <c r="AJ187" i="1"/>
  <c r="AJ50" i="1"/>
  <c r="AJ34" i="1"/>
  <c r="AJ126" i="1"/>
  <c r="AJ210" i="1"/>
  <c r="AJ92" i="1"/>
  <c r="AJ24" i="1"/>
  <c r="AJ154" i="1"/>
  <c r="AJ174" i="1"/>
  <c r="AJ107" i="1"/>
  <c r="AJ43" i="1"/>
  <c r="AJ111" i="1"/>
  <c r="AJ181" i="1"/>
  <c r="AJ138" i="1"/>
  <c r="AJ108" i="1"/>
  <c r="AJ87" i="1"/>
  <c r="AJ115" i="1"/>
  <c r="AJ46" i="1"/>
  <c r="AJ130" i="1"/>
  <c r="AJ35" i="1"/>
  <c r="AJ110" i="1"/>
  <c r="AJ95" i="1"/>
  <c r="AJ38" i="1"/>
  <c r="AJ163" i="1"/>
  <c r="AJ70" i="1"/>
  <c r="AJ161" i="1"/>
  <c r="AJ64" i="1"/>
  <c r="AJ57" i="1"/>
  <c r="AJ41" i="1"/>
  <c r="AJ147" i="1"/>
  <c r="AJ177" i="1"/>
  <c r="AJ25" i="1"/>
  <c r="AJ94" i="1"/>
  <c r="AJ176" i="1"/>
  <c r="AJ145" i="1"/>
  <c r="AJ105" i="1"/>
  <c r="AJ216" i="1"/>
  <c r="AJ61" i="1"/>
  <c r="AJ142" i="1"/>
  <c r="AJ104" i="1"/>
  <c r="AJ77" i="1"/>
  <c r="AJ213" i="1"/>
  <c r="AJ188" i="1"/>
  <c r="AJ71" i="1"/>
  <c r="AJ55" i="1"/>
  <c r="AJ196" i="1"/>
  <c r="AJ209" i="1"/>
  <c r="AJ90" i="1"/>
  <c r="AJ123" i="1"/>
  <c r="AJ137" i="1"/>
  <c r="AJ53" i="1"/>
  <c r="AJ208" i="1"/>
  <c r="AJ69" i="1"/>
  <c r="AJ74" i="1"/>
  <c r="AJ27" i="1"/>
  <c r="AJ42" i="1"/>
  <c r="AJ157" i="1"/>
  <c r="AJ54" i="1"/>
  <c r="AJ40" i="1"/>
  <c r="AJ39" i="1"/>
  <c r="AJ23" i="1"/>
  <c r="AJ146" i="1"/>
  <c r="AJ190" i="1"/>
  <c r="AJ45" i="1"/>
  <c r="AJ37" i="1"/>
  <c r="AJ19" i="1"/>
  <c r="AJ139" i="1"/>
  <c r="AJ79" i="1"/>
  <c r="AJ20" i="1"/>
  <c r="AJ18" i="1"/>
  <c r="AJ197" i="1"/>
  <c r="AJ80" i="1"/>
  <c r="AJ180" i="1"/>
  <c r="AJ63" i="1"/>
  <c r="AJ171" i="1"/>
  <c r="AJ155" i="1"/>
  <c r="AJ178" i="1"/>
  <c r="AJ58" i="1"/>
  <c r="AJ183" i="1"/>
  <c r="AJ72" i="1"/>
  <c r="AJ96" i="1"/>
  <c r="AJ121" i="1"/>
  <c r="AJ30" i="1"/>
  <c r="AJ162" i="1"/>
  <c r="AJ212" i="1"/>
  <c r="AJ198" i="1"/>
  <c r="AJ205" i="1"/>
  <c r="AJ91" i="1"/>
  <c r="AJ88" i="1"/>
  <c r="AJ124" i="1"/>
  <c r="AJ86" i="1"/>
  <c r="AJ62" i="1"/>
  <c r="AJ22" i="1"/>
  <c r="AJ127" i="1"/>
  <c r="AJ26" i="1"/>
  <c r="AJ189" i="1"/>
  <c r="AJ103" i="1"/>
  <c r="AJ131" i="1"/>
  <c r="AJ56" i="1"/>
  <c r="AJ194" i="1"/>
  <c r="AJ203" i="1"/>
  <c r="AJ119" i="1"/>
  <c r="AJ83" i="1"/>
  <c r="AJ202" i="1"/>
  <c r="AJ100" i="1"/>
  <c r="AJ49" i="1"/>
  <c r="AJ168" i="1"/>
  <c r="AJ151" i="1"/>
  <c r="AJ135" i="1"/>
  <c r="AJ116" i="1"/>
  <c r="AJ31" i="1"/>
  <c r="AJ84" i="1"/>
  <c r="AJ169" i="1"/>
  <c r="AJ134" i="1"/>
  <c r="AJ51" i="1"/>
  <c r="AJ153" i="1"/>
  <c r="AJ150" i="1"/>
  <c r="AJ65" i="1"/>
  <c r="AJ186" i="1"/>
  <c r="AJ48" i="1"/>
  <c r="AJ66" i="1"/>
  <c r="AJ99" i="1"/>
  <c r="AJ170" i="1"/>
  <c r="AJ68" i="1"/>
  <c r="AJ136" i="1"/>
  <c r="AJ204" i="1"/>
  <c r="AJ67" i="1"/>
  <c r="AJ102" i="1"/>
  <c r="AJ33" i="1"/>
  <c r="AJ152" i="1"/>
  <c r="AJ85" i="1"/>
  <c r="D233" i="1" l="1"/>
  <c r="D231" i="1"/>
  <c r="F231" i="1" s="1"/>
  <c r="G231" i="1" s="1"/>
  <c r="U221" i="1"/>
  <c r="I221" i="1"/>
  <c r="AA221" i="1"/>
  <c r="AD221" i="1"/>
  <c r="AG221" i="1"/>
  <c r="L221" i="1"/>
  <c r="D10" i="1"/>
  <c r="H10" i="1" s="1"/>
  <c r="O221" i="1"/>
  <c r="AJ218" i="1"/>
  <c r="D227" i="1"/>
  <c r="B227" i="1" s="1" a="1"/>
  <c r="B227" i="1" s="1"/>
  <c r="F233" i="1" l="1"/>
  <c r="G233" i="1" s="1"/>
  <c r="B233" i="1"/>
  <c r="A233" i="1" s="1"/>
  <c r="B231" i="1"/>
  <c r="A231" i="1" s="1"/>
  <c r="D230" i="1"/>
  <c r="B230" i="1" s="1"/>
  <c r="A230" i="1" s="1"/>
  <c r="D229" i="1"/>
  <c r="E231" i="1"/>
  <c r="D234" i="1"/>
  <c r="E234" i="1" s="1"/>
  <c r="D232" i="1"/>
  <c r="B232" i="1" s="1"/>
  <c r="A232" i="1" s="1"/>
  <c r="D236" i="1"/>
  <c r="B236" i="1" s="1"/>
  <c r="A236" i="1" s="1"/>
  <c r="D235" i="1"/>
  <c r="F235" i="1" s="1"/>
  <c r="G235" i="1" s="1"/>
  <c r="D228" i="1"/>
  <c r="F228" i="1" s="1"/>
  <c r="G228" i="1" s="1"/>
  <c r="AJ221" i="1" a="1"/>
  <c r="AJ221" i="1" s="1"/>
  <c r="E233" i="1" s="1"/>
  <c r="A227" i="1"/>
  <c r="F227" i="1"/>
  <c r="G227" i="1" s="1"/>
  <c r="F230" i="1" l="1"/>
  <c r="G230" i="1" s="1"/>
  <c r="F229" i="1"/>
  <c r="G229" i="1" s="1"/>
  <c r="F236" i="1"/>
  <c r="G236" i="1" s="1"/>
  <c r="E232" i="1"/>
  <c r="F232" i="1"/>
  <c r="G232" i="1" s="1"/>
  <c r="B229" i="1"/>
  <c r="A229" i="1" s="1"/>
  <c r="E229" i="1"/>
  <c r="E236" i="1"/>
  <c r="B235" i="1"/>
  <c r="A235" i="1" s="1"/>
  <c r="E235" i="1"/>
  <c r="F234" i="1"/>
  <c r="G234" i="1" s="1"/>
  <c r="B228" i="1" a="1"/>
  <c r="B228" i="1" s="1"/>
  <c r="A228" i="1" s="1"/>
  <c r="B234" i="1"/>
  <c r="A234" i="1" s="1"/>
  <c r="E228" i="1"/>
  <c r="E227" i="1"/>
  <c r="E2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<sst xmlns="http://schemas.openxmlformats.org/spreadsheetml/2006/main" count="104" uniqueCount="49">
  <si>
    <t>Descrição do Produto</t>
  </si>
  <si>
    <t>Qtde</t>
  </si>
  <si>
    <t>Total</t>
  </si>
  <si>
    <t>Contato</t>
  </si>
  <si>
    <t>Data</t>
  </si>
  <si>
    <t>FORNECEDORES</t>
  </si>
  <si>
    <t xml:space="preserve">Data </t>
  </si>
  <si>
    <t xml:space="preserve">Solicitante </t>
  </si>
  <si>
    <t>Aprovador</t>
  </si>
  <si>
    <t>____/____/_______</t>
  </si>
  <si>
    <t xml:space="preserve">Justificar Compra </t>
  </si>
  <si>
    <t>Und</t>
  </si>
  <si>
    <t>Vlr Unit</t>
  </si>
  <si>
    <t>Valor Mín</t>
  </si>
  <si>
    <t>-</t>
  </si>
  <si>
    <t>(%) Dif.</t>
  </si>
  <si>
    <t>Vlr Total</t>
  </si>
  <si>
    <t>FORNECEDOR 8</t>
  </si>
  <si>
    <t>FORNECEDOR 9</t>
  </si>
  <si>
    <t>FORNECEDOR 10</t>
  </si>
  <si>
    <t>Telefone (xx) 9999-9999</t>
  </si>
  <si>
    <t>FORNECEDOR 6</t>
  </si>
  <si>
    <t>FORNECEDOR 5</t>
  </si>
  <si>
    <t>FORNECEDOR 7</t>
  </si>
  <si>
    <t>FORNECEDOR 4</t>
  </si>
  <si>
    <t>FORNECEDOR 3</t>
  </si>
  <si>
    <t>FORNECEDOR 2</t>
  </si>
  <si>
    <t>Item 1</t>
  </si>
  <si>
    <t>Item 2</t>
  </si>
  <si>
    <t>Item 4</t>
  </si>
  <si>
    <t>Item 3</t>
  </si>
  <si>
    <t>L</t>
  </si>
  <si>
    <t>M</t>
  </si>
  <si>
    <t>KG</t>
  </si>
  <si>
    <t>UN</t>
  </si>
  <si>
    <t xml:space="preserve">Preferência de fornecedor </t>
  </si>
  <si>
    <t xml:space="preserve">Qtde cotações </t>
  </si>
  <si>
    <t xml:space="preserve">Observação </t>
  </si>
  <si>
    <t>FORNECEDOR 1</t>
  </si>
  <si>
    <t>(%) Desc</t>
  </si>
  <si>
    <t>COTAÇÕES</t>
  </si>
  <si>
    <t>Cód.</t>
  </si>
  <si>
    <t xml:space="preserve">Valor Total </t>
  </si>
  <si>
    <t xml:space="preserve">(%) Desconto </t>
  </si>
  <si>
    <t xml:space="preserve">Outros acréscimos </t>
  </si>
  <si>
    <t xml:space="preserve">Valor Líquido </t>
  </si>
  <si>
    <t>INFORMAÇÕES DA COMPRA</t>
  </si>
  <si>
    <t xml:space="preserve">Prazo de entrega </t>
  </si>
  <si>
    <t xml:space="preserve">Condição de pagamento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</si>
</sst>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&quot;R$ &quot;#,##0.00"/>
    <numFmt numFmtId="166" formatCode="_([$€-2]* #,##0.00_);_([$€-2]* \(#,##0.00\);_([$€-2]* &quot;-&quot;??_)"/>
    <numFmt numFmtId="167" formatCode="_-&quot;R$ &quot;* #,##0.00_-;&quot;-R$ &quot;* #,##0.00_-;_-&quot;R$ &quot;* \-??_-;_-@_-"/>
    <numFmt numFmtId="168" formatCode="[$-416]dddd\,\ d&quot; de &quot;mmmm&quot; de &quot;yyyy"/>
    <numFmt numFmtId="169" formatCode="_(* #,##0.000_);_(* \(#,##0.000\);_(* \-??_);_(@_)"/>
    <numFmt numFmtId="170" formatCode="_-* #,##0.00_-;\-* #,##0.00_-;_-* \-??_-;_-@_-"/>
    <numFmt numFmtId="171" formatCode="_(* #,##0.00_);_(* \(#,##0.00\);_(* \-??_);_(@_)"/>
    <numFmt numFmtId="172" formatCode="dd/mm/yy;@"/>
    <numFmt numFmtId="173" formatCode="_(* #,##0_);_(* \(#,##0\);_(* \-??_);_(@_)"/>
    <numFmt numFmtId="174" formatCode="[$-F400]h:mm:ss\ AM/PM"/>
    <numFmt numFmtId="175" formatCode="0.0000"/>
    <numFmt numFmtId="176" formatCode="_-* #,##0_-;\-* #,##0_-;_-* &quot;-&quot;??_-;_-@_-"/>
    <numFmt numFmtId="177" formatCode="0.0"/>
    <numFmt numFmtId="178" formatCode="&quot;R$&quot;\ #,##0.00"/>
    <numFmt numFmtId="179" formatCode="#,##0.0"/>
    <numFmt numFmtId="180" formatCode="0.0%"/>
    <numFmt numFmtId="181" formatCode=";;;"/>
  </numFmts>
  <fonts count="8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Tahoma"/>
      <family val="2"/>
    </font>
    <font>
      <sz val="10"/>
      <color theme="1"/>
      <name val="Tahoma"/>
      <family val="2"/>
    </font>
    <font>
      <sz val="11"/>
      <color indexed="9"/>
      <name val="Calibri"/>
      <family val="2"/>
    </font>
    <font>
      <sz val="10"/>
      <color indexed="9"/>
      <name val="Tahoma"/>
      <family val="2"/>
    </font>
    <font>
      <sz val="11"/>
      <color indexed="17"/>
      <name val="Calibri"/>
      <family val="2"/>
    </font>
    <font>
      <sz val="10"/>
      <color indexed="17"/>
      <name val="Tahoma"/>
      <family val="2"/>
    </font>
    <font>
      <b/>
      <sz val="11"/>
      <color indexed="52"/>
      <name val="Calibri"/>
      <family val="2"/>
    </font>
    <font>
      <b/>
      <sz val="10"/>
      <color indexed="52"/>
      <name val="Tahoma"/>
      <family val="2"/>
    </font>
    <font>
      <b/>
      <sz val="11"/>
      <color indexed="9"/>
      <name val="Calibri"/>
      <family val="2"/>
    </font>
    <font>
      <b/>
      <sz val="10"/>
      <color indexed="9"/>
      <name val="Tahoma"/>
      <family val="2"/>
    </font>
    <font>
      <sz val="11"/>
      <color indexed="52"/>
      <name val="Calibri"/>
      <family val="2"/>
    </font>
    <font>
      <sz val="10"/>
      <color indexed="52"/>
      <name val="Tahoma"/>
      <family val="2"/>
    </font>
    <font>
      <sz val="11"/>
      <color indexed="62"/>
      <name val="Calibri"/>
      <family val="2"/>
    </font>
    <font>
      <sz val="10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8"/>
      <name val="Arial"/>
      <family val="2"/>
    </font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Tahoma"/>
      <family val="2"/>
    </font>
    <font>
      <b/>
      <sz val="11"/>
      <color indexed="63"/>
      <name val="Calibri"/>
      <family val="2"/>
    </font>
    <font>
      <b/>
      <sz val="9"/>
      <name val="Arial Narrow"/>
      <family val="2"/>
    </font>
    <font>
      <b/>
      <i/>
      <sz val="9"/>
      <name val="Arial Narrow"/>
      <family val="2"/>
    </font>
    <font>
      <sz val="10"/>
      <color indexed="8"/>
      <name val="Arial"/>
      <family val="2"/>
    </font>
    <font>
      <sz val="11"/>
      <color indexed="9"/>
      <name val="Arial"/>
      <family val="2"/>
    </font>
    <font>
      <sz val="11"/>
      <name val="Arial"/>
      <family val="2"/>
    </font>
    <font>
      <b/>
      <sz val="11"/>
      <color indexed="9"/>
      <name val="Arial"/>
      <family val="2"/>
    </font>
    <font>
      <b/>
      <sz val="11"/>
      <color indexed="9"/>
      <name val="Arial Narrow"/>
      <family val="2"/>
    </font>
    <font>
      <sz val="11"/>
      <color indexed="18"/>
      <name val="Arial"/>
      <family val="2"/>
    </font>
    <font>
      <sz val="10"/>
      <color indexed="56"/>
      <name val="Arial"/>
      <family val="2"/>
    </font>
    <font>
      <sz val="9"/>
      <name val="Arial Narrow"/>
      <family val="2"/>
    </font>
    <font>
      <sz val="12"/>
      <color indexed="56"/>
      <name val="Arial"/>
      <family val="2"/>
    </font>
    <font>
      <i/>
      <sz val="12"/>
      <color indexed="56"/>
      <name val="Arial"/>
      <family val="2"/>
    </font>
    <font>
      <b/>
      <sz val="11"/>
      <color indexed="18"/>
      <name val="Arial Narrow"/>
      <family val="2"/>
    </font>
    <font>
      <i/>
      <sz val="9"/>
      <name val="Arial Narrow"/>
      <family val="2"/>
    </font>
    <font>
      <b/>
      <sz val="11"/>
      <color indexed="56"/>
      <name val="Arial"/>
      <family val="2"/>
    </font>
    <font>
      <b/>
      <i/>
      <sz val="11"/>
      <color indexed="56"/>
      <name val="Arial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6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theme="0" tint="-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rgb="FFF9F9F9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31"/>
        <bgColor indexed="22"/>
      </patternFill>
    </fill>
    <fill>
      <patternFill patternType="solid">
        <fgColor indexed="45"/>
      </patternFill>
    </fill>
    <fill>
      <patternFill patternType="solid">
        <fgColor indexed="45"/>
        <bgColor indexed="29"/>
      </patternFill>
    </fill>
    <fill>
      <patternFill patternType="solid">
        <fgColor indexed="42"/>
      </patternFill>
    </fill>
    <fill>
      <patternFill patternType="solid">
        <fgColor indexed="42"/>
        <bgColor indexed="27"/>
      </patternFill>
    </fill>
    <fill>
      <patternFill patternType="solid">
        <fgColor indexed="46"/>
      </patternFill>
    </fill>
    <fill>
      <patternFill patternType="solid">
        <fgColor indexed="46"/>
        <bgColor indexed="24"/>
      </patternFill>
    </fill>
    <fill>
      <patternFill patternType="solid">
        <f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47"/>
      </patternFill>
    </fill>
    <fill>
      <patternFill patternType="solid">
        <fgColor indexed="47"/>
        <bgColor indexed="22"/>
      </patternFill>
    </fill>
    <fill>
      <patternFill patternType="solid">
        <fgColor indexed="44"/>
      </patternFill>
    </fill>
    <fill>
      <patternFill patternType="solid">
        <fgColor indexed="44"/>
        <bgColor indexed="31"/>
      </patternFill>
    </fill>
    <fill>
      <patternFill patternType="solid">
        <fgColor indexed="29"/>
      </patternFill>
    </fill>
    <fill>
      <patternFill patternType="solid">
        <fgColor indexed="29"/>
        <bgColor indexed="45"/>
      </patternFill>
    </fill>
    <fill>
      <patternFill patternType="solid">
        <fgColor indexed="11"/>
      </patternFill>
    </fill>
    <fill>
      <patternFill patternType="solid">
        <fgColor indexed="11"/>
        <bgColor indexed="49"/>
      </patternFill>
    </fill>
    <fill>
      <patternFill patternType="solid">
        <fgColor indexed="51"/>
      </patternFill>
    </fill>
    <fill>
      <patternFill patternType="solid">
        <fgColor indexed="51"/>
        <bgColor indexed="1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55"/>
        <bgColor indexed="2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64"/>
      </patternFill>
    </fill>
    <fill>
      <patternFill patternType="solid">
        <fgColor indexed="41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54"/>
        <b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</patternFill>
    </fill>
    <fill>
      <patternFill patternType="solid">
        <fgColor rgb="FFF0F0F0"/>
        <bgColor indexed="64"/>
      </patternFill>
    </fill>
    <fill>
      <patternFill patternType="solid">
        <fgColor rgb="FFF9F9F9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thin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499984740745262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</borders>
  <cellStyleXfs count="923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" fillId="10" borderId="0" applyNumberFormat="0" applyBorder="0" applyAlignment="0" applyProtection="0"/>
    <xf numFmtId="0" fontId="18" fillId="33" borderId="0" applyNumberFormat="0" applyBorder="0" applyAlignment="0" applyProtection="0"/>
    <xf numFmtId="0" fontId="17" fillId="34" borderId="0" applyNumberFormat="0" applyBorder="0" applyAlignment="0" applyProtection="0"/>
    <xf numFmtId="0" fontId="1" fillId="10" borderId="0" applyNumberFormat="0" applyBorder="0" applyAlignment="0" applyProtection="0"/>
    <xf numFmtId="0" fontId="18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7" fillId="33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7" fillId="33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7" fillId="33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" fillId="10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3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8" fillId="35" borderId="0" applyNumberFormat="0" applyBorder="0" applyAlignment="0" applyProtection="0"/>
    <xf numFmtId="0" fontId="1" fillId="14" borderId="0" applyNumberFormat="0" applyBorder="0" applyAlignment="0" applyProtection="0"/>
    <xf numFmtId="0" fontId="18" fillId="35" borderId="0" applyNumberFormat="0" applyBorder="0" applyAlignment="0" applyProtection="0"/>
    <xf numFmtId="0" fontId="17" fillId="36" borderId="0" applyNumberFormat="0" applyBorder="0" applyAlignment="0" applyProtection="0"/>
    <xf numFmtId="0" fontId="1" fillId="14" borderId="0" applyNumberFormat="0" applyBorder="0" applyAlignment="0" applyProtection="0"/>
    <xf numFmtId="0" fontId="18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7" fillId="35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7" fillId="35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7" fillId="35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" fillId="14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6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8" fillId="37" borderId="0" applyNumberFormat="0" applyBorder="0" applyAlignment="0" applyProtection="0"/>
    <xf numFmtId="0" fontId="1" fillId="18" borderId="0" applyNumberFormat="0" applyBorder="0" applyAlignment="0" applyProtection="0"/>
    <xf numFmtId="0" fontId="18" fillId="37" borderId="0" applyNumberFormat="0" applyBorder="0" applyAlignment="0" applyProtection="0"/>
    <xf numFmtId="0" fontId="17" fillId="38" borderId="0" applyNumberFormat="0" applyBorder="0" applyAlignment="0" applyProtection="0"/>
    <xf numFmtId="0" fontId="1" fillId="18" borderId="0" applyNumberFormat="0" applyBorder="0" applyAlignment="0" applyProtection="0"/>
    <xf numFmtId="0" fontId="18" fillId="37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7" fillId="3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7" fillId="3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7" fillId="3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" fillId="1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7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" fillId="22" borderId="0" applyNumberFormat="0" applyBorder="0" applyAlignment="0" applyProtection="0"/>
    <xf numFmtId="0" fontId="18" fillId="39" borderId="0" applyNumberFormat="0" applyBorder="0" applyAlignment="0" applyProtection="0"/>
    <xf numFmtId="0" fontId="17" fillId="40" borderId="0" applyNumberFormat="0" applyBorder="0" applyAlignment="0" applyProtection="0"/>
    <xf numFmtId="0" fontId="1" fillId="22" borderId="0" applyNumberFormat="0" applyBorder="0" applyAlignment="0" applyProtection="0"/>
    <xf numFmtId="0" fontId="18" fillId="39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7" fillId="3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7" fillId="3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7" fillId="3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2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8" fillId="41" borderId="0" applyNumberFormat="0" applyBorder="0" applyAlignment="0" applyProtection="0"/>
    <xf numFmtId="0" fontId="1" fillId="26" borderId="0" applyNumberFormat="0" applyBorder="0" applyAlignment="0" applyProtection="0"/>
    <xf numFmtId="0" fontId="18" fillId="41" borderId="0" applyNumberFormat="0" applyBorder="0" applyAlignment="0" applyProtection="0"/>
    <xf numFmtId="0" fontId="17" fillId="42" borderId="0" applyNumberFormat="0" applyBorder="0" applyAlignment="0" applyProtection="0"/>
    <xf numFmtId="0" fontId="1" fillId="26" borderId="0" applyNumberFormat="0" applyBorder="0" applyAlignment="0" applyProtection="0"/>
    <xf numFmtId="0" fontId="18" fillId="41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7" fillId="41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7" fillId="41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7" fillId="41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" fillId="26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1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8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8" fillId="43" borderId="0" applyNumberFormat="0" applyBorder="0" applyAlignment="0" applyProtection="0"/>
    <xf numFmtId="0" fontId="1" fillId="30" borderId="0" applyNumberFormat="0" applyBorder="0" applyAlignment="0" applyProtection="0"/>
    <xf numFmtId="0" fontId="18" fillId="43" borderId="0" applyNumberFormat="0" applyBorder="0" applyAlignment="0" applyProtection="0"/>
    <xf numFmtId="0" fontId="17" fillId="44" borderId="0" applyNumberFormat="0" applyBorder="0" applyAlignment="0" applyProtection="0"/>
    <xf numFmtId="0" fontId="1" fillId="30" borderId="0" applyNumberFormat="0" applyBorder="0" applyAlignment="0" applyProtection="0"/>
    <xf numFmtId="0" fontId="18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7" fillId="43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7" fillId="43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7" fillId="43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9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" fillId="30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4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" fillId="11" borderId="0" applyNumberFormat="0" applyBorder="0" applyAlignment="0" applyProtection="0"/>
    <xf numFmtId="0" fontId="18" fillId="45" borderId="0" applyNumberFormat="0" applyBorder="0" applyAlignment="0" applyProtection="0"/>
    <xf numFmtId="0" fontId="17" fillId="46" borderId="0" applyNumberFormat="0" applyBorder="0" applyAlignment="0" applyProtection="0"/>
    <xf numFmtId="0" fontId="1" fillId="11" borderId="0" applyNumberFormat="0" applyBorder="0" applyAlignment="0" applyProtection="0"/>
    <xf numFmtId="0" fontId="18" fillId="4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7" fillId="45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7" fillId="45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7" fillId="45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11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8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8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8" fillId="47" borderId="0" applyNumberFormat="0" applyBorder="0" applyAlignment="0" applyProtection="0"/>
    <xf numFmtId="0" fontId="1" fillId="15" borderId="0" applyNumberFormat="0" applyBorder="0" applyAlignment="0" applyProtection="0"/>
    <xf numFmtId="0" fontId="18" fillId="47" borderId="0" applyNumberFormat="0" applyBorder="0" applyAlignment="0" applyProtection="0"/>
    <xf numFmtId="0" fontId="17" fillId="48" borderId="0" applyNumberFormat="0" applyBorder="0" applyAlignment="0" applyProtection="0"/>
    <xf numFmtId="0" fontId="1" fillId="15" borderId="0" applyNumberFormat="0" applyBorder="0" applyAlignment="0" applyProtection="0"/>
    <xf numFmtId="0" fontId="18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7" fillId="47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7" fillId="47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7" fillId="47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" fillId="15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8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8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8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7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8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8" fillId="49" borderId="0" applyNumberFormat="0" applyBorder="0" applyAlignment="0" applyProtection="0"/>
    <xf numFmtId="0" fontId="1" fillId="19" borderId="0" applyNumberFormat="0" applyBorder="0" applyAlignment="0" applyProtection="0"/>
    <xf numFmtId="0" fontId="18" fillId="49" borderId="0" applyNumberFormat="0" applyBorder="0" applyAlignment="0" applyProtection="0"/>
    <xf numFmtId="0" fontId="17" fillId="50" borderId="0" applyNumberFormat="0" applyBorder="0" applyAlignment="0" applyProtection="0"/>
    <xf numFmtId="0" fontId="1" fillId="19" borderId="0" applyNumberFormat="0" applyBorder="0" applyAlignment="0" applyProtection="0"/>
    <xf numFmtId="0" fontId="18" fillId="4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7" fillId="4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7" fillId="4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7" fillId="4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" fillId="1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4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8" fillId="39" borderId="0" applyNumberFormat="0" applyBorder="0" applyAlignment="0" applyProtection="0"/>
    <xf numFmtId="0" fontId="1" fillId="23" borderId="0" applyNumberFormat="0" applyBorder="0" applyAlignment="0" applyProtection="0"/>
    <xf numFmtId="0" fontId="18" fillId="39" borderId="0" applyNumberFormat="0" applyBorder="0" applyAlignment="0" applyProtection="0"/>
    <xf numFmtId="0" fontId="17" fillId="40" borderId="0" applyNumberFormat="0" applyBorder="0" applyAlignment="0" applyProtection="0"/>
    <xf numFmtId="0" fontId="1" fillId="23" borderId="0" applyNumberFormat="0" applyBorder="0" applyAlignment="0" applyProtection="0"/>
    <xf numFmtId="0" fontId="18" fillId="3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7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7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7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" fillId="23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0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39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8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8" fillId="45" borderId="0" applyNumberFormat="0" applyBorder="0" applyAlignment="0" applyProtection="0"/>
    <xf numFmtId="0" fontId="1" fillId="27" borderId="0" applyNumberFormat="0" applyBorder="0" applyAlignment="0" applyProtection="0"/>
    <xf numFmtId="0" fontId="18" fillId="45" borderId="0" applyNumberFormat="0" applyBorder="0" applyAlignment="0" applyProtection="0"/>
    <xf numFmtId="0" fontId="17" fillId="46" borderId="0" applyNumberFormat="0" applyBorder="0" applyAlignment="0" applyProtection="0"/>
    <xf numFmtId="0" fontId="1" fillId="27" borderId="0" applyNumberFormat="0" applyBorder="0" applyAlignment="0" applyProtection="0"/>
    <xf numFmtId="0" fontId="18" fillId="45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7" fillId="45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7" fillId="45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7" fillId="45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9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" fillId="27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45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8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2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8" fillId="51" borderId="0" applyNumberFormat="0" applyBorder="0" applyAlignment="0" applyProtection="0"/>
    <xf numFmtId="0" fontId="1" fillId="31" borderId="0" applyNumberFormat="0" applyBorder="0" applyAlignment="0" applyProtection="0"/>
    <xf numFmtId="0" fontId="18" fillId="51" borderId="0" applyNumberFormat="0" applyBorder="0" applyAlignment="0" applyProtection="0"/>
    <xf numFmtId="0" fontId="17" fillId="52" borderId="0" applyNumberFormat="0" applyBorder="0" applyAlignment="0" applyProtection="0"/>
    <xf numFmtId="0" fontId="1" fillId="31" borderId="0" applyNumberFormat="0" applyBorder="0" applyAlignment="0" applyProtection="0"/>
    <xf numFmtId="0" fontId="18" fillId="5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7" fillId="5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7" fillId="5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7" fillId="5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" fillId="3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2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2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2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17" fillId="51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16" fillId="12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1" fillId="53" borderId="0" applyNumberFormat="0" applyBorder="0" applyAlignment="0" applyProtection="0"/>
    <xf numFmtId="0" fontId="16" fillId="12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6" fillId="12" borderId="0" applyNumberFormat="0" applyBorder="0" applyAlignment="0" applyProtection="0"/>
    <xf numFmtId="0" fontId="16" fillId="12" borderId="0" applyNumberFormat="0" applyBorder="0" applyAlignment="0" applyProtection="0"/>
    <xf numFmtId="0" fontId="20" fillId="53" borderId="0" applyNumberFormat="0" applyBorder="0" applyAlignment="0" applyProtection="0"/>
    <xf numFmtId="0" fontId="16" fillId="12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16" fillId="12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5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6" fillId="16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1" fillId="47" borderId="0" applyNumberFormat="0" applyBorder="0" applyAlignment="0" applyProtection="0"/>
    <xf numFmtId="0" fontId="16" fillId="1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6" fillId="16" borderId="0" applyNumberFormat="0" applyBorder="0" applyAlignment="0" applyProtection="0"/>
    <xf numFmtId="0" fontId="16" fillId="16" borderId="0" applyNumberFormat="0" applyBorder="0" applyAlignment="0" applyProtection="0"/>
    <xf numFmtId="0" fontId="20" fillId="47" borderId="0" applyNumberFormat="0" applyBorder="0" applyAlignment="0" applyProtection="0"/>
    <xf numFmtId="0" fontId="16" fillId="16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6" fillId="16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6" fillId="20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1" fillId="49" borderId="0" applyNumberFormat="0" applyBorder="0" applyAlignment="0" applyProtection="0"/>
    <xf numFmtId="0" fontId="16" fillId="20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16" fillId="20" borderId="0" applyNumberFormat="0" applyBorder="0" applyAlignment="0" applyProtection="0"/>
    <xf numFmtId="0" fontId="16" fillId="20" borderId="0" applyNumberFormat="0" applyBorder="0" applyAlignment="0" applyProtection="0"/>
    <xf numFmtId="0" fontId="20" fillId="49" borderId="0" applyNumberFormat="0" applyBorder="0" applyAlignment="0" applyProtection="0"/>
    <xf numFmtId="0" fontId="16" fillId="20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16" fillId="20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49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16" fillId="2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1" fillId="54" borderId="0" applyNumberFormat="0" applyBorder="0" applyAlignment="0" applyProtection="0"/>
    <xf numFmtId="0" fontId="16" fillId="2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6" fillId="24" borderId="0" applyNumberFormat="0" applyBorder="0" applyAlignment="0" applyProtection="0"/>
    <xf numFmtId="0" fontId="16" fillId="24" borderId="0" applyNumberFormat="0" applyBorder="0" applyAlignment="0" applyProtection="0"/>
    <xf numFmtId="0" fontId="20" fillId="54" borderId="0" applyNumberFormat="0" applyBorder="0" applyAlignment="0" applyProtection="0"/>
    <xf numFmtId="0" fontId="16" fillId="2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16" fillId="2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4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16" fillId="28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1" fillId="55" borderId="0" applyNumberFormat="0" applyBorder="0" applyAlignment="0" applyProtection="0"/>
    <xf numFmtId="0" fontId="16" fillId="28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6" fillId="28" borderId="0" applyNumberFormat="0" applyBorder="0" applyAlignment="0" applyProtection="0"/>
    <xf numFmtId="0" fontId="16" fillId="28" borderId="0" applyNumberFormat="0" applyBorder="0" applyAlignment="0" applyProtection="0"/>
    <xf numFmtId="0" fontId="20" fillId="55" borderId="0" applyNumberFormat="0" applyBorder="0" applyAlignment="0" applyProtection="0"/>
    <xf numFmtId="0" fontId="16" fillId="28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16" fillId="28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5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16" fillId="32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1" fillId="56" borderId="0" applyNumberFormat="0" applyBorder="0" applyAlignment="0" applyProtection="0"/>
    <xf numFmtId="0" fontId="16" fillId="32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16" fillId="32" borderId="0" applyNumberFormat="0" applyBorder="0" applyAlignment="0" applyProtection="0"/>
    <xf numFmtId="0" fontId="16" fillId="32" borderId="0" applyNumberFormat="0" applyBorder="0" applyAlignment="0" applyProtection="0"/>
    <xf numFmtId="0" fontId="20" fillId="56" borderId="0" applyNumberFormat="0" applyBorder="0" applyAlignment="0" applyProtection="0"/>
    <xf numFmtId="0" fontId="16" fillId="32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16" fillId="32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0" fillId="56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7" fillId="2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7" fillId="2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22" fillId="37" borderId="0" applyNumberFormat="0" applyBorder="0" applyAlignment="0" applyProtection="0"/>
    <xf numFmtId="0" fontId="7" fillId="2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7" fillId="2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2" fillId="37" borderId="0" applyNumberFormat="0" applyBorder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12" fillId="6" borderId="4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25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5" fillId="57" borderId="10" applyNumberFormat="0" applyAlignment="0" applyProtection="0"/>
    <xf numFmtId="0" fontId="12" fillId="6" borderId="4" applyNumberFormat="0" applyAlignment="0" applyProtection="0"/>
    <xf numFmtId="0" fontId="25" fillId="57" borderId="10" applyNumberFormat="0" applyAlignment="0" applyProtection="0"/>
    <xf numFmtId="0" fontId="25" fillId="57" borderId="10" applyNumberFormat="0" applyAlignment="0" applyProtection="0"/>
    <xf numFmtId="0" fontId="12" fillId="6" borderId="4" applyNumberFormat="0" applyAlignment="0" applyProtection="0"/>
    <xf numFmtId="0" fontId="12" fillId="6" borderId="4" applyNumberFormat="0" applyAlignment="0" applyProtection="0"/>
    <xf numFmtId="0" fontId="24" fillId="57" borderId="10" applyNumberFormat="0" applyAlignment="0" applyProtection="0"/>
    <xf numFmtId="0" fontId="12" fillId="6" borderId="4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12" fillId="6" borderId="4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8" borderId="10" applyNumberFormat="0" applyAlignment="0" applyProtection="0"/>
    <xf numFmtId="0" fontId="24" fillId="58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4" fillId="57" borderId="10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" fillId="7" borderId="7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7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7" fillId="59" borderId="11" applyNumberFormat="0" applyAlignment="0" applyProtection="0"/>
    <xf numFmtId="0" fontId="2" fillId="7" borderId="7" applyNumberFormat="0" applyAlignment="0" applyProtection="0"/>
    <xf numFmtId="0" fontId="27" fillId="59" borderId="11" applyNumberFormat="0" applyAlignment="0" applyProtection="0"/>
    <xf numFmtId="0" fontId="27" fillId="59" borderId="11" applyNumberFormat="0" applyAlignment="0" applyProtection="0"/>
    <xf numFmtId="0" fontId="2" fillId="7" borderId="7" applyNumberFormat="0" applyAlignment="0" applyProtection="0"/>
    <xf numFmtId="0" fontId="2" fillId="7" borderId="7" applyNumberFormat="0" applyAlignment="0" applyProtection="0"/>
    <xf numFmtId="0" fontId="26" fillId="59" borderId="11" applyNumberFormat="0" applyAlignment="0" applyProtection="0"/>
    <xf numFmtId="0" fontId="2" fillId="7" borderId="7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" fillId="7" borderId="7" applyNumberFormat="0" applyAlignment="0" applyProtection="0"/>
    <xf numFmtId="0" fontId="2" fillId="7" borderId="7" applyNumberFormat="0" applyAlignment="0" applyProtection="0"/>
    <xf numFmtId="0" fontId="2" fillId="7" borderId="7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60" borderId="11" applyNumberFormat="0" applyAlignment="0" applyProtection="0"/>
    <xf numFmtId="0" fontId="26" fillId="60" borderId="11" applyNumberFormat="0" applyAlignment="0" applyProtection="0"/>
    <xf numFmtId="0" fontId="26" fillId="60" borderId="11" applyNumberFormat="0" applyAlignment="0" applyProtection="0"/>
    <xf numFmtId="0" fontId="26" fillId="60" borderId="11" applyNumberFormat="0" applyAlignment="0" applyProtection="0"/>
    <xf numFmtId="0" fontId="26" fillId="60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6" fillId="59" borderId="11" applyNumberFormat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13" fillId="0" borderId="6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9" fillId="0" borderId="12" applyNumberFormat="0" applyFill="0" applyAlignment="0" applyProtection="0"/>
    <xf numFmtId="0" fontId="13" fillId="0" borderId="6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28" fillId="0" borderId="12" applyNumberFormat="0" applyFill="0" applyAlignment="0" applyProtection="0"/>
    <xf numFmtId="0" fontId="13" fillId="0" borderId="6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13" fillId="0" borderId="6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8" fillId="0" borderId="12" applyNumberFormat="0" applyFill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16" fillId="9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21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1" fillId="61" borderId="0" applyNumberFormat="0" applyBorder="0" applyAlignment="0" applyProtection="0"/>
    <xf numFmtId="0" fontId="16" fillId="9" borderId="0" applyNumberFormat="0" applyBorder="0" applyAlignment="0" applyProtection="0"/>
    <xf numFmtId="0" fontId="21" fillId="61" borderId="0" applyNumberFormat="0" applyBorder="0" applyAlignment="0" applyProtection="0"/>
    <xf numFmtId="0" fontId="21" fillId="61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20" fillId="61" borderId="0" applyNumberFormat="0" applyBorder="0" applyAlignment="0" applyProtection="0"/>
    <xf numFmtId="0" fontId="16" fillId="9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16" fillId="9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1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16" fillId="13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21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1" fillId="62" borderId="0" applyNumberFormat="0" applyBorder="0" applyAlignment="0" applyProtection="0"/>
    <xf numFmtId="0" fontId="16" fillId="13" borderId="0" applyNumberFormat="0" applyBorder="0" applyAlignment="0" applyProtection="0"/>
    <xf numFmtId="0" fontId="21" fillId="62" borderId="0" applyNumberFormat="0" applyBorder="0" applyAlignment="0" applyProtection="0"/>
    <xf numFmtId="0" fontId="21" fillId="62" borderId="0" applyNumberFormat="0" applyBorder="0" applyAlignment="0" applyProtection="0"/>
    <xf numFmtId="0" fontId="16" fillId="13" borderId="0" applyNumberFormat="0" applyBorder="0" applyAlignment="0" applyProtection="0"/>
    <xf numFmtId="0" fontId="16" fillId="13" borderId="0" applyNumberFormat="0" applyBorder="0" applyAlignment="0" applyProtection="0"/>
    <xf numFmtId="0" fontId="20" fillId="62" borderId="0" applyNumberFormat="0" applyBorder="0" applyAlignment="0" applyProtection="0"/>
    <xf numFmtId="0" fontId="16" fillId="13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16" fillId="13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2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16" fillId="17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21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1" fillId="63" borderId="0" applyNumberFormat="0" applyBorder="0" applyAlignment="0" applyProtection="0"/>
    <xf numFmtId="0" fontId="16" fillId="17" borderId="0" applyNumberFormat="0" applyBorder="0" applyAlignment="0" applyProtection="0"/>
    <xf numFmtId="0" fontId="21" fillId="63" borderId="0" applyNumberFormat="0" applyBorder="0" applyAlignment="0" applyProtection="0"/>
    <xf numFmtId="0" fontId="21" fillId="63" borderId="0" applyNumberFormat="0" applyBorder="0" applyAlignment="0" applyProtection="0"/>
    <xf numFmtId="0" fontId="16" fillId="17" borderId="0" applyNumberFormat="0" applyBorder="0" applyAlignment="0" applyProtection="0"/>
    <xf numFmtId="0" fontId="16" fillId="17" borderId="0" applyNumberFormat="0" applyBorder="0" applyAlignment="0" applyProtection="0"/>
    <xf numFmtId="0" fontId="20" fillId="63" borderId="0" applyNumberFormat="0" applyBorder="0" applyAlignment="0" applyProtection="0"/>
    <xf numFmtId="0" fontId="16" fillId="17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16" fillId="17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20" fillId="6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16" fillId="21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1" borderId="0" applyNumberFormat="0" applyBorder="0" applyAlignment="0" applyProtection="0"/>
    <xf numFmtId="0" fontId="20" fillId="5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16" fillId="2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5" borderId="0" applyNumberFormat="0" applyBorder="0" applyAlignment="0" applyProtection="0"/>
    <xf numFmtId="0" fontId="20" fillId="5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6" fillId="29" borderId="0" applyNumberFormat="0" applyBorder="0" applyAlignment="0" applyProtection="0"/>
    <xf numFmtId="0" fontId="20" fillId="6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0" fillId="5" borderId="4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0" fillId="5" borderId="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0" fillId="5" borderId="4" applyNumberFormat="0" applyAlignment="0" applyProtection="0"/>
    <xf numFmtId="0" fontId="10" fillId="5" borderId="4" applyNumberFormat="0" applyAlignment="0" applyProtection="0"/>
    <xf numFmtId="0" fontId="17" fillId="0" borderId="0" applyNumberFormat="0" applyFont="0" applyFill="0" applyBorder="0" applyAlignment="0" applyProtection="0"/>
    <xf numFmtId="0" fontId="10" fillId="5" borderId="4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0" fillId="5" borderId="4" applyNumberFormat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4" borderId="10" applyNumberFormat="0" applyAlignment="0" applyProtection="0"/>
    <xf numFmtId="0" fontId="30" fillId="44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0" fillId="43" borderId="10" applyNumberFormat="0" applyAlignment="0" applyProtection="0"/>
    <xf numFmtId="0" fontId="30" fillId="43" borderId="10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166" fontId="31" fillId="0" borderId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8" fillId="3" borderId="0" applyNumberFormat="0" applyBorder="0" applyAlignment="0" applyProtection="0"/>
    <xf numFmtId="0" fontId="32" fillId="3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67" fontId="17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44" fontId="31" fillId="0" borderId="0" applyFill="0" applyBorder="0" applyAlignment="0" applyProtection="0"/>
    <xf numFmtId="168" fontId="1" fillId="0" borderId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9" fillId="4" borderId="0" applyNumberFormat="0" applyBorder="0" applyAlignment="0" applyProtection="0"/>
    <xf numFmtId="0" fontId="33" fillId="65" borderId="0" applyNumberFormat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1" fillId="0" borderId="0"/>
    <xf numFmtId="0" fontId="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9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4" fillId="0" borderId="0"/>
    <xf numFmtId="0" fontId="34" fillId="0" borderId="0"/>
    <xf numFmtId="0" fontId="34" fillId="0" borderId="0"/>
    <xf numFmtId="0" fontId="17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19" fillId="0" borderId="0"/>
    <xf numFmtId="0" fontId="17" fillId="0" borderId="0" applyNumberFormat="0" applyFont="0" applyFill="0" applyBorder="0" applyAlignment="0" applyProtection="0"/>
    <xf numFmtId="0" fontId="35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35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1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1" fillId="0" borderId="0"/>
    <xf numFmtId="0" fontId="19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1" fillId="0" borderId="0"/>
    <xf numFmtId="0" fontId="31" fillId="0" borderId="0"/>
    <xf numFmtId="0" fontId="1" fillId="0" borderId="0"/>
    <xf numFmtId="0" fontId="34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3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6" fillId="0" borderId="0"/>
    <xf numFmtId="0" fontId="36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3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 applyNumberFormat="0" applyFont="0" applyFill="0" applyBorder="0" applyAlignment="0" applyProtection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4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7" fillId="0" borderId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7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5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5" fillId="0" borderId="0"/>
    <xf numFmtId="0" fontId="17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7" fillId="0" borderId="0"/>
    <xf numFmtId="0" fontId="37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31" fillId="67" borderId="13" applyNumberFormat="0" applyAlignment="0" applyProtection="0"/>
    <xf numFmtId="0" fontId="31" fillId="67" borderId="13" applyNumberFormat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67" borderId="13" applyNumberFormat="0" applyAlignment="0" applyProtection="0"/>
    <xf numFmtId="0" fontId="17" fillId="67" borderId="13" applyNumberFormat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9" fillId="8" borderId="8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7" borderId="13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66" borderId="13" applyNumberFormat="0" applyFon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ill="0" applyBorder="0" applyAlignment="0" applyProtection="0"/>
    <xf numFmtId="9" fontId="35" fillId="0" borderId="0" applyFont="0" applyFill="0" applyBorder="0" applyAlignment="0" applyProtection="0"/>
    <xf numFmtId="9" fontId="17" fillId="0" borderId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ill="0" applyBorder="0" applyAlignment="0" applyProtection="0"/>
    <xf numFmtId="9" fontId="17" fillId="0" borderId="0" applyFill="0" applyBorder="0" applyAlignment="0" applyProtection="0"/>
    <xf numFmtId="9" fontId="17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7" fillId="0" borderId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7" fillId="0" borderId="0" applyFill="0" applyBorder="0" applyAlignment="0" applyProtection="0"/>
    <xf numFmtId="9" fontId="17" fillId="0" borderId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1" fillId="0" borderId="0" applyFill="0" applyBorder="0" applyAlignment="0" applyProtection="0"/>
    <xf numFmtId="9" fontId="31" fillId="0" borderId="0" applyFill="0" applyBorder="0" applyAlignment="0" applyProtection="0"/>
    <xf numFmtId="9" fontId="31" fillId="0" borderId="0" applyFill="0" applyBorder="0" applyAlignment="0" applyProtection="0"/>
    <xf numFmtId="9" fontId="3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1" fillId="6" borderId="5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1" fillId="6" borderId="5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1" fillId="6" borderId="5" applyNumberFormat="0" applyAlignment="0" applyProtection="0"/>
    <xf numFmtId="0" fontId="11" fillId="6" borderId="5" applyNumberFormat="0" applyAlignment="0" applyProtection="0"/>
    <xf numFmtId="0" fontId="17" fillId="0" borderId="0" applyNumberFormat="0" applyFont="0" applyFill="0" applyBorder="0" applyAlignment="0" applyProtection="0"/>
    <xf numFmtId="0" fontId="11" fillId="6" borderId="5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1" fillId="6" borderId="5" applyNumberFormat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8" borderId="14" applyNumberFormat="0" applyAlignment="0" applyProtection="0"/>
    <xf numFmtId="0" fontId="38" fillId="58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8" fillId="57" borderId="14" applyNumberFormat="0" applyAlignment="0" applyProtection="0"/>
    <xf numFmtId="0" fontId="38" fillId="57" borderId="14" applyNumberFormat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4" fontId="39" fillId="68" borderId="15" applyNumberFormat="0" applyProtection="0">
      <alignment horizontal="center" vertical="center"/>
    </xf>
    <xf numFmtId="4" fontId="39" fillId="68" borderId="15" applyNumberFormat="0" applyProtection="0">
      <alignment horizontal="center" vertical="center"/>
    </xf>
    <xf numFmtId="4" fontId="39" fillId="68" borderId="15" applyNumberFormat="0" applyProtection="0">
      <alignment horizontal="center" vertical="center"/>
    </xf>
    <xf numFmtId="4" fontId="40" fillId="68" borderId="15" applyNumberFormat="0" applyProtection="0">
      <alignment vertical="center"/>
    </xf>
    <xf numFmtId="4" fontId="40" fillId="68" borderId="15" applyNumberFormat="0" applyProtection="0">
      <alignment vertical="center"/>
    </xf>
    <xf numFmtId="4" fontId="40" fillId="68" borderId="15" applyNumberFormat="0" applyProtection="0">
      <alignment vertical="center"/>
    </xf>
    <xf numFmtId="4" fontId="39" fillId="68" borderId="15" applyNumberFormat="0" applyProtection="0">
      <alignment horizontal="left" vertical="center" indent="1"/>
    </xf>
    <xf numFmtId="4" fontId="39" fillId="68" borderId="15" applyNumberFormat="0" applyProtection="0">
      <alignment horizontal="left" vertical="center" indent="1"/>
    </xf>
    <xf numFmtId="4" fontId="39" fillId="68" borderId="15" applyNumberFormat="0" applyProtection="0">
      <alignment horizontal="left" vertical="center" indent="1"/>
    </xf>
    <xf numFmtId="4" fontId="41" fillId="68" borderId="14" applyNumberFormat="0" applyProtection="0">
      <alignment horizontal="left" vertical="center" indent="1"/>
    </xf>
    <xf numFmtId="4" fontId="41" fillId="68" borderId="14" applyNumberFormat="0" applyProtection="0">
      <alignment horizontal="left" vertical="center" indent="1"/>
    </xf>
    <xf numFmtId="4" fontId="41" fillId="68" borderId="14" applyNumberFormat="0" applyProtection="0">
      <alignment horizontal="left" vertical="center" indent="1"/>
    </xf>
    <xf numFmtId="4" fontId="39" fillId="69" borderId="16" applyNumberFormat="0" applyProtection="0">
      <alignment horizontal="center" vertical="center" wrapText="1"/>
    </xf>
    <xf numFmtId="4" fontId="42" fillId="70" borderId="17" applyNumberFormat="0" applyProtection="0">
      <alignment vertical="center"/>
    </xf>
    <xf numFmtId="4" fontId="41" fillId="71" borderId="14" applyNumberFormat="0" applyProtection="0">
      <alignment horizontal="right" vertical="center"/>
    </xf>
    <xf numFmtId="4" fontId="41" fillId="71" borderId="14" applyNumberFormat="0" applyProtection="0">
      <alignment horizontal="right" vertical="center"/>
    </xf>
    <xf numFmtId="4" fontId="41" fillId="71" borderId="14" applyNumberFormat="0" applyProtection="0">
      <alignment horizontal="right" vertical="center"/>
    </xf>
    <xf numFmtId="4" fontId="41" fillId="72" borderId="14" applyNumberFormat="0" applyProtection="0">
      <alignment horizontal="right" vertical="center"/>
    </xf>
    <xf numFmtId="4" fontId="41" fillId="72" borderId="14" applyNumberFormat="0" applyProtection="0">
      <alignment horizontal="right" vertical="center"/>
    </xf>
    <xf numFmtId="4" fontId="41" fillId="72" borderId="14" applyNumberFormat="0" applyProtection="0">
      <alignment horizontal="right" vertical="center"/>
    </xf>
    <xf numFmtId="4" fontId="41" fillId="70" borderId="14" applyNumberFormat="0" applyProtection="0">
      <alignment horizontal="right" vertical="center"/>
    </xf>
    <xf numFmtId="4" fontId="41" fillId="70" borderId="14" applyNumberFormat="0" applyProtection="0">
      <alignment horizontal="right" vertical="center"/>
    </xf>
    <xf numFmtId="4" fontId="41" fillId="70" borderId="14" applyNumberFormat="0" applyProtection="0">
      <alignment horizontal="right" vertical="center"/>
    </xf>
    <xf numFmtId="4" fontId="43" fillId="73" borderId="17" applyNumberFormat="0" applyProtection="0">
      <alignment vertical="center"/>
    </xf>
    <xf numFmtId="4" fontId="41" fillId="74" borderId="14" applyNumberFormat="0" applyProtection="0">
      <alignment horizontal="right" vertical="center"/>
    </xf>
    <xf numFmtId="4" fontId="41" fillId="74" borderId="14" applyNumberFormat="0" applyProtection="0">
      <alignment horizontal="right" vertical="center"/>
    </xf>
    <xf numFmtId="4" fontId="41" fillId="74" borderId="14" applyNumberFormat="0" applyProtection="0">
      <alignment horizontal="right" vertical="center"/>
    </xf>
    <xf numFmtId="4" fontId="41" fillId="75" borderId="14" applyNumberFormat="0" applyProtection="0">
      <alignment horizontal="right" vertical="center"/>
    </xf>
    <xf numFmtId="4" fontId="41" fillId="75" borderId="14" applyNumberFormat="0" applyProtection="0">
      <alignment horizontal="right" vertical="center"/>
    </xf>
    <xf numFmtId="4" fontId="41" fillId="75" borderId="14" applyNumberFormat="0" applyProtection="0">
      <alignment horizontal="right" vertical="center"/>
    </xf>
    <xf numFmtId="4" fontId="41" fillId="76" borderId="14" applyNumberFormat="0" applyProtection="0">
      <alignment horizontal="right" vertical="center"/>
    </xf>
    <xf numFmtId="4" fontId="41" fillId="76" borderId="14" applyNumberFormat="0" applyProtection="0">
      <alignment horizontal="right" vertical="center"/>
    </xf>
    <xf numFmtId="4" fontId="41" fillId="76" borderId="14" applyNumberFormat="0" applyProtection="0">
      <alignment horizontal="right" vertical="center"/>
    </xf>
    <xf numFmtId="4" fontId="42" fillId="77" borderId="17" applyNumberFormat="0" applyProtection="0">
      <alignment vertical="center"/>
    </xf>
    <xf numFmtId="4" fontId="41" fillId="78" borderId="14" applyNumberFormat="0" applyProtection="0">
      <alignment horizontal="right" vertical="center"/>
    </xf>
    <xf numFmtId="4" fontId="41" fillId="78" borderId="14" applyNumberFormat="0" applyProtection="0">
      <alignment horizontal="right" vertical="center"/>
    </xf>
    <xf numFmtId="4" fontId="41" fillId="78" borderId="14" applyNumberFormat="0" applyProtection="0">
      <alignment horizontal="right" vertical="center"/>
    </xf>
    <xf numFmtId="4" fontId="41" fillId="79" borderId="14" applyNumberFormat="0" applyProtection="0">
      <alignment horizontal="right" vertical="center"/>
    </xf>
    <xf numFmtId="4" fontId="41" fillId="79" borderId="14" applyNumberFormat="0" applyProtection="0">
      <alignment horizontal="right" vertical="center"/>
    </xf>
    <xf numFmtId="4" fontId="41" fillId="79" borderId="14" applyNumberFormat="0" applyProtection="0">
      <alignment horizontal="right" vertical="center"/>
    </xf>
    <xf numFmtId="4" fontId="41" fillId="80" borderId="14" applyNumberFormat="0" applyProtection="0">
      <alignment horizontal="right" vertical="center"/>
    </xf>
    <xf numFmtId="4" fontId="41" fillId="80" borderId="14" applyNumberFormat="0" applyProtection="0">
      <alignment horizontal="right" vertical="center"/>
    </xf>
    <xf numFmtId="4" fontId="41" fillId="80" borderId="14" applyNumberFormat="0" applyProtection="0">
      <alignment horizontal="right" vertical="center"/>
    </xf>
    <xf numFmtId="4" fontId="44" fillId="70" borderId="17" applyNumberFormat="0" applyProtection="0">
      <alignment vertical="center"/>
    </xf>
    <xf numFmtId="4" fontId="39" fillId="81" borderId="18" applyNumberFormat="0" applyProtection="0">
      <alignment horizontal="left" vertical="center" indent="1"/>
    </xf>
    <xf numFmtId="4" fontId="39" fillId="81" borderId="18" applyNumberFormat="0" applyProtection="0">
      <alignment horizontal="left" vertical="center" indent="1"/>
    </xf>
    <xf numFmtId="4" fontId="39" fillId="81" borderId="18" applyNumberFormat="0" applyProtection="0">
      <alignment horizontal="left" vertical="center" indent="1"/>
    </xf>
    <xf numFmtId="4" fontId="39" fillId="82" borderId="19" applyNumberFormat="0" applyProtection="0">
      <alignment horizontal="left" vertical="center" indent="1"/>
    </xf>
    <xf numFmtId="4" fontId="45" fillId="83" borderId="17" applyNumberFormat="0" applyProtection="0">
      <alignment horizontal="left" vertical="center" indent="1"/>
    </xf>
    <xf numFmtId="4" fontId="46" fillId="84" borderId="17" applyNumberFormat="0" applyProtection="0">
      <alignment vertical="center"/>
    </xf>
    <xf numFmtId="4" fontId="47" fillId="85" borderId="17" applyNumberFormat="0" applyProtection="0">
      <alignment horizontal="left" vertical="center" indent="1"/>
    </xf>
    <xf numFmtId="4" fontId="48" fillId="82" borderId="19" applyNumberFormat="0" applyProtection="0">
      <alignment horizontal="left" vertical="center" indent="1"/>
    </xf>
    <xf numFmtId="4" fontId="48" fillId="83" borderId="20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6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7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8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4" fontId="49" fillId="85" borderId="17" applyNumberFormat="0" applyProtection="0">
      <alignment vertical="center"/>
    </xf>
    <xf numFmtId="4" fontId="50" fillId="85" borderId="17" applyNumberFormat="0" applyProtection="0">
      <alignment vertical="center"/>
    </xf>
    <xf numFmtId="4" fontId="51" fillId="82" borderId="17" applyNumberFormat="0" applyProtection="0">
      <alignment horizontal="left" vertical="center" indent="1"/>
    </xf>
    <xf numFmtId="4" fontId="41" fillId="90" borderId="14" applyNumberFormat="0" applyProtection="0">
      <alignment horizontal="left" vertical="center" indent="1"/>
    </xf>
    <xf numFmtId="4" fontId="41" fillId="90" borderId="14" applyNumberFormat="0" applyProtection="0">
      <alignment horizontal="left" vertical="center" indent="1"/>
    </xf>
    <xf numFmtId="4" fontId="41" fillId="90" borderId="14" applyNumberFormat="0" applyProtection="0">
      <alignment horizontal="left" vertical="center" indent="1"/>
    </xf>
    <xf numFmtId="4" fontId="48" fillId="85" borderId="21" applyNumberFormat="0" applyProtection="0">
      <alignment horizontal="center" vertical="center"/>
    </xf>
    <xf numFmtId="4" fontId="52" fillId="85" borderId="21" applyNumberFormat="0" applyProtection="0">
      <alignment vertical="center"/>
    </xf>
    <xf numFmtId="4" fontId="39" fillId="91" borderId="16" applyNumberFormat="0" applyProtection="0">
      <alignment horizontal="left" vertical="center" wrapTex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0" fontId="31" fillId="89" borderId="14" applyNumberFormat="0" applyProtection="0">
      <alignment horizontal="left" vertical="center" indent="1"/>
    </xf>
    <xf numFmtId="4" fontId="53" fillId="85" borderId="17" applyNumberFormat="0" applyProtection="0">
      <alignment vertical="center"/>
    </xf>
    <xf numFmtId="4" fontId="54" fillId="85" borderId="17" applyNumberFormat="0" applyProtection="0">
      <alignment vertical="center"/>
    </xf>
    <xf numFmtId="4" fontId="51" fillId="90" borderId="17" applyNumberFormat="0" applyProtection="0">
      <alignment horizontal="left" vertical="center" indent="1"/>
    </xf>
    <xf numFmtId="4" fontId="48" fillId="84" borderId="22" applyNumberFormat="0" applyProtection="0">
      <alignment horizontal="left" indent="1"/>
    </xf>
    <xf numFmtId="4" fontId="48" fillId="85" borderId="15" applyNumberFormat="0" applyProtection="0">
      <alignment vertical="center"/>
    </xf>
    <xf numFmtId="4" fontId="48" fillId="85" borderId="15" applyNumberFormat="0" applyProtection="0">
      <alignment vertical="center"/>
    </xf>
    <xf numFmtId="4" fontId="48" fillId="85" borderId="15" applyNumberFormat="0" applyProtection="0">
      <alignment vertical="center"/>
    </xf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9" fontId="31" fillId="0" borderId="0" applyFont="0" applyFill="0" applyBorder="0" applyAlignment="0" applyProtection="0"/>
    <xf numFmtId="169" fontId="17" fillId="0" borderId="0" applyFont="0" applyFill="0" applyBorder="0" applyAlignment="0" applyProtection="0"/>
    <xf numFmtId="164" fontId="3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5" fillId="0" borderId="0" applyFont="0" applyFill="0" applyBorder="0" applyAlignment="0" applyProtection="0"/>
    <xf numFmtId="168" fontId="1" fillId="0" borderId="0" applyFont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2" fontId="17" fillId="0" borderId="0" applyFill="0" applyBorder="0" applyAlignment="0" applyProtection="0"/>
    <xf numFmtId="173" fontId="17" fillId="0" borderId="0" applyFill="0" applyBorder="0" applyAlignment="0" applyProtection="0"/>
    <xf numFmtId="168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3" fontId="17" fillId="0" borderId="0" applyFill="0" applyBorder="0" applyAlignment="0" applyProtection="0"/>
    <xf numFmtId="43" fontId="17" fillId="0" borderId="0" applyFont="0" applyFill="0" applyBorder="0" applyAlignment="0" applyProtection="0"/>
    <xf numFmtId="173" fontId="17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3" fontId="17" fillId="0" borderId="0" applyFill="0" applyBorder="0" applyAlignment="0" applyProtection="0"/>
    <xf numFmtId="171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1" fontId="31" fillId="0" borderId="0" applyFill="0" applyBorder="0" applyAlignment="0" applyProtection="0"/>
    <xf numFmtId="173" fontId="17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17" fillId="0" borderId="0" applyFill="0" applyBorder="0" applyAlignment="0" applyProtection="0"/>
    <xf numFmtId="164" fontId="35" fillId="0" borderId="0" applyFont="0" applyFill="0" applyBorder="0" applyAlignment="0" applyProtection="0"/>
    <xf numFmtId="164" fontId="35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164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170" fontId="17" fillId="0" borderId="0" applyFill="0" applyBorder="0" applyAlignment="0" applyProtection="0"/>
    <xf numFmtId="170" fontId="17" fillId="0" borderId="0" applyFill="0" applyBorder="0" applyAlignment="0" applyProtection="0"/>
    <xf numFmtId="43" fontId="1" fillId="0" borderId="0" applyFont="0" applyFill="0" applyBorder="0" applyAlignment="0" applyProtection="0"/>
    <xf numFmtId="170" fontId="17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17" fillId="0" borderId="0" applyFont="0" applyFill="0" applyBorder="0" applyAlignment="0" applyProtection="0"/>
    <xf numFmtId="171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1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1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4" fontId="17" fillId="0" borderId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5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31" fillId="0" borderId="0" applyFont="0" applyFill="0" applyBorder="0" applyAlignment="0" applyProtection="0"/>
    <xf numFmtId="170" fontId="17" fillId="0" borderId="0" applyFill="0" applyBorder="0" applyAlignment="0" applyProtection="0"/>
    <xf numFmtId="170" fontId="17" fillId="0" borderId="0" applyFill="0" applyBorder="0" applyAlignment="0" applyProtection="0"/>
    <xf numFmtId="43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70" fontId="31" fillId="0" borderId="0" applyFill="0" applyBorder="0" applyAlignment="0" applyProtection="0"/>
    <xf numFmtId="164" fontId="19" fillId="0" borderId="0" applyFont="0" applyFill="0" applyBorder="0" applyAlignment="0" applyProtection="0"/>
    <xf numFmtId="170" fontId="17" fillId="0" borderId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176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0" fontId="31" fillId="0" borderId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170" fontId="17" fillId="0" borderId="0" applyFill="0" applyBorder="0" applyAlignment="0" applyProtection="0"/>
    <xf numFmtId="170" fontId="31" fillId="0" borderId="0" applyFill="0" applyBorder="0" applyAlignment="0" applyProtection="0"/>
    <xf numFmtId="43" fontId="1" fillId="0" borderId="0" applyFont="0" applyFill="0" applyBorder="0" applyAlignment="0" applyProtection="0"/>
    <xf numFmtId="170" fontId="17" fillId="0" borderId="0" applyFill="0" applyBorder="0" applyAlignment="0" applyProtection="0"/>
    <xf numFmtId="177" fontId="31" fillId="0" borderId="0" applyFill="0" applyBorder="0" applyAlignment="0" applyProtection="0"/>
    <xf numFmtId="170" fontId="31" fillId="0" borderId="0" applyFill="0" applyBorder="0" applyAlignment="0" applyProtection="0"/>
    <xf numFmtId="177" fontId="31" fillId="0" borderId="0" applyFill="0" applyBorder="0" applyAlignment="0" applyProtection="0"/>
    <xf numFmtId="177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170" fontId="31" fillId="0" borderId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7" fillId="0" borderId="23" applyNumberFormat="0" applyFill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7" fillId="0" borderId="23" applyNumberFormat="0" applyFill="0" applyAlignment="0" applyProtection="0"/>
    <xf numFmtId="0" fontId="58" fillId="0" borderId="0" applyNumberFormat="0" applyFill="0" applyBorder="0" applyAlignment="0" applyProtection="0"/>
    <xf numFmtId="0" fontId="60" fillId="0" borderId="24" applyNumberFormat="0" applyFill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57" fillId="0" borderId="23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4" fillId="0" borderId="1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4" fillId="0" borderId="1" applyNumberFormat="0" applyFill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4" fillId="0" borderId="1" applyNumberFormat="0" applyFill="0" applyAlignment="0" applyProtection="0"/>
    <xf numFmtId="0" fontId="57" fillId="0" borderId="23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5" fillId="0" borderId="2" applyNumberFormat="0" applyFill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" fillId="0" borderId="2" applyNumberFormat="0" applyFill="0" applyAlignment="0" applyProtection="0"/>
    <xf numFmtId="0" fontId="61" fillId="0" borderId="25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" fillId="0" borderId="3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3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17" fillId="0" borderId="0" applyNumberFormat="0" applyFont="0" applyFill="0" applyBorder="0" applyAlignment="0" applyProtection="0"/>
    <xf numFmtId="0" fontId="6" fillId="0" borderId="3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62" fillId="0" borderId="26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3" fillId="0" borderId="9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" fillId="0" borderId="9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3" fillId="0" borderId="9" applyNumberFormat="0" applyFill="0" applyAlignment="0" applyProtection="0"/>
    <xf numFmtId="0" fontId="3" fillId="0" borderId="9" applyNumberFormat="0" applyFill="0" applyAlignment="0" applyProtection="0"/>
    <xf numFmtId="0" fontId="17" fillId="0" borderId="0" applyNumberFormat="0" applyFont="0" applyFill="0" applyBorder="0" applyAlignment="0" applyProtection="0"/>
    <xf numFmtId="0" fontId="3" fillId="0" borderId="9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3" fillId="0" borderId="9" applyNumberFormat="0" applyFill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63" fillId="0" borderId="27" applyNumberFormat="0" applyFill="0" applyAlignment="0" applyProtection="0"/>
    <xf numFmtId="0" fontId="63" fillId="0" borderId="27" applyNumberFormat="0" applyFill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3">
    <xf numFmtId="0" fontId="0" fillId="0" borderId="0" xfId="0"/>
    <xf numFmtId="0" fontId="0" fillId="0" borderId="0" xfId="0" applyProtection="1"/>
    <xf numFmtId="164" fontId="67" fillId="0" borderId="34" xfId="1" applyFont="1" applyFill="1" applyBorder="1" applyAlignment="1" applyProtection="1">
      <alignment vertical="center"/>
    </xf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Border="1" applyAlignment="1" applyProtection="1"/>
    <xf numFmtId="0" fontId="65" fillId="0" borderId="0" xfId="0" applyFont="1" applyFill="1" applyBorder="1" applyAlignment="1" applyProtection="1">
      <alignment vertical="center"/>
    </xf>
    <xf numFmtId="178" fontId="0" fillId="0" borderId="0" xfId="0" applyNumberFormat="1" applyBorder="1" applyProtection="1"/>
    <xf numFmtId="0" fontId="65" fillId="0" borderId="0" xfId="0" applyFont="1" applyFill="1" applyBorder="1" applyAlignment="1" applyProtection="1">
      <alignment horizontal="left" vertical="center" wrapText="1"/>
    </xf>
    <xf numFmtId="0" fontId="14" fillId="0" borderId="0" xfId="0" applyFont="1" applyProtection="1"/>
    <xf numFmtId="181" fontId="14" fillId="0" borderId="0" xfId="0" applyNumberFormat="1" applyFont="1" applyProtection="1"/>
    <xf numFmtId="0" fontId="2" fillId="0" borderId="0" xfId="0" applyNumberFormat="1" applyFont="1" applyFill="1" applyBorder="1" applyAlignment="1" applyProtection="1">
      <alignment horizontal="center" vertical="center"/>
    </xf>
    <xf numFmtId="0" fontId="0" fillId="0" borderId="0" xfId="0" quotePrefix="1" applyBorder="1" applyProtection="1"/>
    <xf numFmtId="0" fontId="0" fillId="0" borderId="0" xfId="0" quotePrefix="1" applyProtection="1"/>
    <xf numFmtId="9" fontId="0" fillId="0" borderId="0" xfId="2" quotePrefix="1" applyFont="1" applyBorder="1" applyAlignment="1" applyProtection="1">
      <alignment horizontal="center" vertical="center"/>
    </xf>
    <xf numFmtId="0" fontId="16" fillId="0" borderId="0" xfId="1" applyNumberFormat="1" applyFont="1" applyBorder="1" applyAlignment="1" applyProtection="1">
      <alignment horizontal="center" vertical="center"/>
    </xf>
    <xf numFmtId="0" fontId="14" fillId="0" borderId="0" xfId="2" applyNumberFormat="1" applyFont="1" applyBorder="1" applyAlignment="1" applyProtection="1">
      <alignment horizontal="center" vertical="center"/>
    </xf>
    <xf numFmtId="0" fontId="14" fillId="0" borderId="0" xfId="0" applyNumberFormat="1" applyFont="1" applyProtection="1"/>
    <xf numFmtId="0" fontId="16" fillId="0" borderId="0" xfId="0" applyNumberFormat="1" applyFont="1" applyProtection="1"/>
    <xf numFmtId="0" fontId="16" fillId="0" borderId="0" xfId="2" applyNumberFormat="1" applyFont="1" applyBorder="1" applyAlignment="1" applyProtection="1">
      <alignment horizontal="center" vertical="center"/>
    </xf>
    <xf numFmtId="0" fontId="69" fillId="0" borderId="0" xfId="0" applyFont="1" applyProtection="1"/>
    <xf numFmtId="0" fontId="0" fillId="0" borderId="47" xfId="0" applyFill="1" applyBorder="1" applyProtection="1"/>
    <xf numFmtId="0" fontId="0" fillId="0" borderId="48" xfId="0" applyFill="1" applyBorder="1" applyProtection="1"/>
    <xf numFmtId="0" fontId="0" fillId="0" borderId="49" xfId="0" applyFill="1" applyBorder="1" applyProtection="1"/>
    <xf numFmtId="0" fontId="0" fillId="0" borderId="31" xfId="0" applyFill="1" applyBorder="1" applyProtection="1"/>
    <xf numFmtId="0" fontId="64" fillId="0" borderId="39" xfId="0" applyFont="1" applyFill="1" applyBorder="1" applyAlignment="1" applyProtection="1">
      <alignment horizontal="right" vertical="center"/>
    </xf>
    <xf numFmtId="0" fontId="64" fillId="0" borderId="40" xfId="0" applyFont="1" applyFill="1" applyBorder="1" applyAlignment="1" applyProtection="1">
      <alignment horizontal="right" vertical="center"/>
    </xf>
    <xf numFmtId="16" fontId="65" fillId="0" borderId="40" xfId="0" applyNumberFormat="1" applyFont="1" applyFill="1" applyBorder="1" applyAlignment="1" applyProtection="1">
      <alignment vertical="center"/>
    </xf>
    <xf numFmtId="0" fontId="0" fillId="0" borderId="40" xfId="0" applyFill="1" applyBorder="1" applyAlignment="1" applyProtection="1">
      <alignment vertical="center"/>
    </xf>
    <xf numFmtId="0" fontId="0" fillId="0" borderId="41" xfId="0" applyFill="1" applyBorder="1" applyProtection="1"/>
    <xf numFmtId="0" fontId="70" fillId="0" borderId="30" xfId="0" applyFont="1" applyFill="1" applyBorder="1" applyAlignment="1" applyProtection="1">
      <alignment horizontal="right" vertical="center"/>
    </xf>
    <xf numFmtId="0" fontId="70" fillId="0" borderId="30" xfId="0" applyFont="1" applyFill="1" applyBorder="1" applyAlignment="1" applyProtection="1">
      <alignment horizontal="right" vertical="top"/>
    </xf>
    <xf numFmtId="0" fontId="70" fillId="0" borderId="0" xfId="0" applyFont="1" applyFill="1" applyBorder="1" applyAlignment="1" applyProtection="1">
      <alignment horizontal="right" vertical="center"/>
    </xf>
    <xf numFmtId="16" fontId="64" fillId="0" borderId="0" xfId="0" applyNumberFormat="1" applyFont="1" applyFill="1" applyBorder="1" applyAlignment="1" applyProtection="1">
      <alignment horizontal="right" vertical="center"/>
    </xf>
    <xf numFmtId="0" fontId="65" fillId="0" borderId="0" xfId="0" applyFont="1" applyFill="1" applyBorder="1" applyAlignment="1" applyProtection="1">
      <alignment horizontal="left" vertical="center"/>
    </xf>
    <xf numFmtId="0" fontId="70" fillId="0" borderId="0" xfId="0" applyFont="1" applyFill="1" applyBorder="1" applyAlignment="1" applyProtection="1">
      <alignment horizontal="right" vertical="top"/>
    </xf>
    <xf numFmtId="0" fontId="74" fillId="0" borderId="0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vertical="center"/>
    </xf>
    <xf numFmtId="0" fontId="75" fillId="0" borderId="0" xfId="0" applyFont="1" applyFill="1" applyBorder="1" applyAlignment="1" applyProtection="1">
      <alignment horizontal="right" vertical="center"/>
    </xf>
    <xf numFmtId="0" fontId="78" fillId="0" borderId="35" xfId="0" applyFont="1" applyBorder="1" applyAlignment="1" applyProtection="1">
      <alignment vertical="center"/>
      <protection locked="0"/>
    </xf>
    <xf numFmtId="0" fontId="78" fillId="0" borderId="35" xfId="0" applyFont="1" applyFill="1" applyBorder="1" applyAlignment="1" applyProtection="1">
      <alignment horizontal="center" vertical="center"/>
      <protection locked="0"/>
    </xf>
    <xf numFmtId="0" fontId="78" fillId="0" borderId="32" xfId="0" applyFont="1" applyBorder="1" applyAlignment="1" applyProtection="1">
      <alignment horizontal="center" vertical="center"/>
      <protection locked="0"/>
    </xf>
    <xf numFmtId="164" fontId="78" fillId="0" borderId="33" xfId="1" applyFont="1" applyFill="1" applyBorder="1" applyAlignment="1" applyProtection="1">
      <alignment vertical="center"/>
      <protection locked="0"/>
    </xf>
    <xf numFmtId="180" fontId="78" fillId="0" borderId="32" xfId="2" applyNumberFormat="1" applyFont="1" applyFill="1" applyBorder="1" applyAlignment="1" applyProtection="1">
      <alignment vertical="center"/>
      <protection locked="0"/>
    </xf>
    <xf numFmtId="178" fontId="79" fillId="93" borderId="45" xfId="1" applyNumberFormat="1" applyFont="1" applyFill="1" applyBorder="1" applyAlignment="1" applyProtection="1">
      <alignment vertical="center"/>
    </xf>
    <xf numFmtId="0" fontId="70" fillId="0" borderId="37" xfId="0" applyFont="1" applyFill="1" applyBorder="1" applyAlignment="1" applyProtection="1">
      <alignment horizontal="center" vertical="center" wrapText="1"/>
    </xf>
    <xf numFmtId="0" fontId="70" fillId="0" borderId="0" xfId="0" applyFont="1" applyFill="1" applyBorder="1" applyAlignment="1" applyProtection="1">
      <alignment horizontal="center" vertical="center"/>
    </xf>
    <xf numFmtId="0" fontId="78" fillId="0" borderId="40" xfId="0" applyFont="1" applyBorder="1" applyProtection="1"/>
    <xf numFmtId="179" fontId="80" fillId="0" borderId="0" xfId="1" applyNumberFormat="1" applyFont="1" applyBorder="1" applyAlignment="1" applyProtection="1">
      <alignment horizontal="center" vertical="center"/>
    </xf>
    <xf numFmtId="9" fontId="80" fillId="0" borderId="0" xfId="2" applyFont="1" applyBorder="1" applyAlignment="1" applyProtection="1">
      <alignment horizontal="center" vertical="center"/>
    </xf>
    <xf numFmtId="0" fontId="78" fillId="0" borderId="33" xfId="0" applyFont="1" applyBorder="1" applyAlignment="1" applyProtection="1">
      <alignment horizontal="center" vertical="center"/>
      <protection locked="0"/>
    </xf>
    <xf numFmtId="178" fontId="68" fillId="93" borderId="50" xfId="1" applyNumberFormat="1" applyFont="1" applyFill="1" applyBorder="1" applyAlignment="1" applyProtection="1">
      <alignment vertical="center"/>
    </xf>
    <xf numFmtId="0" fontId="78" fillId="0" borderId="52" xfId="0" applyFont="1" applyBorder="1" applyAlignment="1" applyProtection="1">
      <alignment horizontal="center" vertical="center"/>
      <protection locked="0"/>
    </xf>
    <xf numFmtId="0" fontId="78" fillId="0" borderId="53" xfId="0" applyFont="1" applyBorder="1" applyAlignment="1" applyProtection="1">
      <alignment vertical="center"/>
      <protection locked="0"/>
    </xf>
    <xf numFmtId="0" fontId="78" fillId="0" borderId="53" xfId="0" applyFont="1" applyFill="1" applyBorder="1" applyAlignment="1" applyProtection="1">
      <alignment horizontal="center" vertical="center"/>
      <protection locked="0"/>
    </xf>
    <xf numFmtId="0" fontId="78" fillId="0" borderId="54" xfId="0" applyFont="1" applyBorder="1" applyAlignment="1" applyProtection="1">
      <alignment horizontal="center" vertical="center"/>
      <protection locked="0"/>
    </xf>
    <xf numFmtId="164" fontId="78" fillId="0" borderId="52" xfId="1" applyFont="1" applyFill="1" applyBorder="1" applyAlignment="1" applyProtection="1">
      <alignment vertical="center"/>
      <protection locked="0"/>
    </xf>
    <xf numFmtId="180" fontId="78" fillId="0" borderId="54" xfId="2" applyNumberFormat="1" applyFont="1" applyFill="1" applyBorder="1" applyAlignment="1" applyProtection="1">
      <alignment vertical="center"/>
      <protection locked="0"/>
    </xf>
    <xf numFmtId="164" fontId="67" fillId="0" borderId="55" xfId="1" applyFont="1" applyFill="1" applyBorder="1" applyAlignment="1" applyProtection="1">
      <alignment vertical="center"/>
    </xf>
    <xf numFmtId="0" fontId="78" fillId="0" borderId="60" xfId="0" applyFont="1" applyBorder="1" applyAlignment="1" applyProtection="1">
      <alignment horizontal="center" vertical="center"/>
      <protection locked="0"/>
    </xf>
    <xf numFmtId="0" fontId="78" fillId="0" borderId="61" xfId="0" applyFont="1" applyBorder="1" applyAlignment="1" applyProtection="1">
      <alignment vertical="center"/>
      <protection locked="0"/>
    </xf>
    <xf numFmtId="0" fontId="78" fillId="0" borderId="61" xfId="0" applyFont="1" applyFill="1" applyBorder="1" applyAlignment="1" applyProtection="1">
      <alignment horizontal="center" vertical="center"/>
      <protection locked="0"/>
    </xf>
    <xf numFmtId="0" fontId="78" fillId="0" borderId="62" xfId="0" applyFont="1" applyBorder="1" applyAlignment="1" applyProtection="1">
      <alignment horizontal="center" vertical="center"/>
      <protection locked="0"/>
    </xf>
    <xf numFmtId="164" fontId="78" fillId="0" borderId="60" xfId="1" applyFont="1" applyFill="1" applyBorder="1" applyAlignment="1" applyProtection="1">
      <alignment vertical="center"/>
      <protection locked="0"/>
    </xf>
    <xf numFmtId="180" fontId="78" fillId="0" borderId="62" xfId="2" applyNumberFormat="1" applyFont="1" applyFill="1" applyBorder="1" applyAlignment="1" applyProtection="1">
      <alignment vertical="center"/>
      <protection locked="0"/>
    </xf>
    <xf numFmtId="164" fontId="67" fillId="0" borderId="63" xfId="1" applyFont="1" applyFill="1" applyBorder="1" applyAlignment="1" applyProtection="1">
      <alignment vertical="center"/>
    </xf>
    <xf numFmtId="0" fontId="70" fillId="92" borderId="36" xfId="0" applyFont="1" applyFill="1" applyBorder="1" applyAlignment="1" applyProtection="1">
      <alignment horizontal="center" vertical="center"/>
    </xf>
    <xf numFmtId="0" fontId="70" fillId="92" borderId="37" xfId="0" applyFont="1" applyFill="1" applyBorder="1" applyAlignment="1" applyProtection="1">
      <alignment vertical="center"/>
    </xf>
    <xf numFmtId="0" fontId="70" fillId="92" borderId="37" xfId="0" applyFont="1" applyFill="1" applyBorder="1" applyAlignment="1" applyProtection="1">
      <alignment horizontal="center" vertical="center"/>
    </xf>
    <xf numFmtId="0" fontId="70" fillId="92" borderId="38" xfId="0" applyFont="1" applyFill="1" applyBorder="1" applyAlignment="1" applyProtection="1">
      <alignment horizontal="center" vertical="center"/>
    </xf>
    <xf numFmtId="0" fontId="70" fillId="0" borderId="37" xfId="0" applyFont="1" applyFill="1" applyBorder="1" applyAlignment="1" applyProtection="1">
      <alignment horizontal="center" vertical="center"/>
    </xf>
    <xf numFmtId="0" fontId="77" fillId="0" borderId="0" xfId="0" applyFont="1" applyFill="1" applyBorder="1" applyAlignment="1" applyProtection="1">
      <alignment horizontal="left" vertical="center" indent="1"/>
      <protection locked="0"/>
    </xf>
    <xf numFmtId="0" fontId="77" fillId="0" borderId="0" xfId="0" applyFont="1" applyFill="1" applyBorder="1" applyAlignment="1" applyProtection="1">
      <alignment horizontal="left" vertical="center" wrapText="1"/>
      <protection locked="0"/>
    </xf>
    <xf numFmtId="49" fontId="65" fillId="92" borderId="36" xfId="1" applyNumberFormat="1" applyFont="1" applyFill="1" applyBorder="1" applyAlignment="1" applyProtection="1">
      <alignment horizontal="center" vertical="center" wrapText="1"/>
      <protection locked="0"/>
    </xf>
    <xf numFmtId="49" fontId="65" fillId="92" borderId="37" xfId="1" applyNumberFormat="1" applyFont="1" applyFill="1" applyBorder="1" applyAlignment="1" applyProtection="1">
      <alignment horizontal="center" vertical="center" wrapText="1"/>
      <protection locked="0"/>
    </xf>
    <xf numFmtId="49" fontId="65" fillId="92" borderId="38" xfId="1" applyNumberFormat="1" applyFont="1" applyFill="1" applyBorder="1" applyAlignment="1" applyProtection="1">
      <alignment horizontal="center" vertical="center" wrapText="1"/>
      <protection locked="0"/>
    </xf>
    <xf numFmtId="49" fontId="78" fillId="92" borderId="36" xfId="1" applyNumberFormat="1" applyFont="1" applyFill="1" applyBorder="1" applyAlignment="1" applyProtection="1">
      <alignment horizontal="center" vertical="center" wrapText="1"/>
      <protection locked="0"/>
    </xf>
    <xf numFmtId="49" fontId="78" fillId="92" borderId="37" xfId="1" applyNumberFormat="1" applyFont="1" applyFill="1" applyBorder="1" applyAlignment="1" applyProtection="1">
      <alignment horizontal="center" vertical="center" wrapText="1"/>
      <protection locked="0"/>
    </xf>
    <xf numFmtId="49" fontId="78" fillId="92" borderId="38" xfId="1" applyNumberFormat="1" applyFont="1" applyFill="1" applyBorder="1" applyAlignment="1" applyProtection="1">
      <alignment horizontal="center" vertical="center" wrapText="1"/>
      <protection locked="0"/>
    </xf>
    <xf numFmtId="0" fontId="78" fillId="92" borderId="39" xfId="0" applyFont="1" applyFill="1" applyBorder="1" applyAlignment="1" applyProtection="1">
      <alignment horizontal="center" vertical="center"/>
      <protection locked="0"/>
    </xf>
    <xf numFmtId="0" fontId="78" fillId="92" borderId="40" xfId="0" applyFont="1" applyFill="1" applyBorder="1" applyAlignment="1" applyProtection="1">
      <alignment horizontal="center" vertical="center"/>
      <protection locked="0"/>
    </xf>
    <xf numFmtId="0" fontId="78" fillId="92" borderId="41" xfId="0" applyFont="1" applyFill="1" applyBorder="1" applyAlignment="1" applyProtection="1">
      <alignment horizontal="center" vertical="center"/>
      <protection locked="0"/>
    </xf>
    <xf numFmtId="0" fontId="65" fillId="92" borderId="39" xfId="0" applyFont="1" applyFill="1" applyBorder="1" applyAlignment="1" applyProtection="1">
      <alignment horizontal="center" vertical="center"/>
      <protection locked="0"/>
    </xf>
    <xf numFmtId="0" fontId="65" fillId="92" borderId="40" xfId="0" applyFont="1" applyFill="1" applyBorder="1" applyAlignment="1" applyProtection="1">
      <alignment horizontal="center" vertical="center"/>
      <protection locked="0"/>
    </xf>
    <xf numFmtId="0" fontId="65" fillId="92" borderId="41" xfId="0" applyFont="1" applyFill="1" applyBorder="1" applyAlignment="1" applyProtection="1">
      <alignment horizontal="center" vertical="center"/>
      <protection locked="0"/>
    </xf>
    <xf numFmtId="165" fontId="3" fillId="93" borderId="46" xfId="1" applyNumberFormat="1" applyFont="1" applyFill="1" applyBorder="1" applyAlignment="1" applyProtection="1">
      <alignment horizontal="center"/>
    </xf>
    <xf numFmtId="165" fontId="3" fillId="93" borderId="59" xfId="1" applyNumberFormat="1" applyFont="1" applyFill="1" applyBorder="1" applyAlignment="1" applyProtection="1">
      <alignment horizontal="center"/>
    </xf>
    <xf numFmtId="165" fontId="3" fillId="93" borderId="51" xfId="1" applyNumberFormat="1" applyFont="1" applyFill="1" applyBorder="1" applyAlignment="1" applyProtection="1">
      <alignment horizontal="center"/>
    </xf>
    <xf numFmtId="10" fontId="3" fillId="93" borderId="36" xfId="2" applyNumberFormat="1" applyFont="1" applyFill="1" applyBorder="1" applyAlignment="1" applyProtection="1">
      <alignment horizontal="center" vertical="center"/>
      <protection locked="0"/>
    </xf>
    <xf numFmtId="10" fontId="3" fillId="93" borderId="37" xfId="2" applyNumberFormat="1" applyFont="1" applyFill="1" applyBorder="1" applyAlignment="1" applyProtection="1">
      <alignment horizontal="center" vertical="center"/>
      <protection locked="0"/>
    </xf>
    <xf numFmtId="10" fontId="3" fillId="93" borderId="38" xfId="2" applyNumberFormat="1" applyFont="1" applyFill="1" applyBorder="1" applyAlignment="1" applyProtection="1">
      <alignment horizontal="center" vertical="center"/>
      <protection locked="0"/>
    </xf>
    <xf numFmtId="178" fontId="3" fillId="93" borderId="36" xfId="9235" applyNumberFormat="1" applyFont="1" applyFill="1" applyBorder="1" applyAlignment="1" applyProtection="1">
      <alignment horizontal="center" vertical="center"/>
      <protection locked="0"/>
    </xf>
    <xf numFmtId="178" fontId="3" fillId="93" borderId="37" xfId="9235" applyNumberFormat="1" applyFont="1" applyFill="1" applyBorder="1" applyAlignment="1" applyProtection="1">
      <alignment horizontal="center" vertical="center"/>
      <protection locked="0"/>
    </xf>
    <xf numFmtId="178" fontId="3" fillId="93" borderId="38" xfId="9235" applyNumberFormat="1" applyFont="1" applyFill="1" applyBorder="1" applyAlignment="1" applyProtection="1">
      <alignment horizontal="center" vertical="center"/>
      <protection locked="0"/>
    </xf>
    <xf numFmtId="178" fontId="66" fillId="93" borderId="44" xfId="0" applyNumberFormat="1" applyFont="1" applyFill="1" applyBorder="1" applyAlignment="1" applyProtection="1">
      <alignment horizontal="center" vertical="center"/>
    </xf>
    <xf numFmtId="0" fontId="66" fillId="93" borderId="42" xfId="0" applyFont="1" applyFill="1" applyBorder="1" applyAlignment="1" applyProtection="1">
      <alignment horizontal="center" vertical="center"/>
    </xf>
    <xf numFmtId="0" fontId="66" fillId="93" borderId="43" xfId="0" applyFont="1" applyFill="1" applyBorder="1" applyAlignment="1" applyProtection="1">
      <alignment horizontal="center" vertical="center"/>
    </xf>
    <xf numFmtId="164" fontId="0" fillId="0" borderId="33" xfId="0" applyNumberFormat="1" applyFill="1" applyBorder="1" applyAlignment="1" applyProtection="1">
      <alignment horizontal="center" vertical="center"/>
    </xf>
    <xf numFmtId="164" fontId="0" fillId="0" borderId="34" xfId="0" applyNumberFormat="1" applyFill="1" applyBorder="1" applyAlignment="1" applyProtection="1">
      <alignment horizontal="center" vertical="center"/>
    </xf>
    <xf numFmtId="1" fontId="3" fillId="93" borderId="36" xfId="1" applyNumberFormat="1" applyFont="1" applyFill="1" applyBorder="1" applyAlignment="1" applyProtection="1">
      <alignment horizontal="center" vertical="center"/>
    </xf>
    <xf numFmtId="1" fontId="3" fillId="93" borderId="38" xfId="1" applyNumberFormat="1" applyFont="1" applyFill="1" applyBorder="1" applyAlignment="1" applyProtection="1">
      <alignment horizontal="center" vertical="center"/>
    </xf>
    <xf numFmtId="164" fontId="0" fillId="0" borderId="52" xfId="0" applyNumberFormat="1" applyFill="1" applyBorder="1" applyAlignment="1" applyProtection="1">
      <alignment horizontal="center" vertical="center"/>
    </xf>
    <xf numFmtId="164" fontId="0" fillId="0" borderId="55" xfId="0" applyNumberFormat="1" applyFill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/>
    </xf>
    <xf numFmtId="0" fontId="71" fillId="0" borderId="0" xfId="0" applyFont="1" applyBorder="1" applyAlignment="1" applyProtection="1">
      <alignment horizontal="center"/>
    </xf>
    <xf numFmtId="1" fontId="3" fillId="92" borderId="46" xfId="1" applyNumberFormat="1" applyFont="1" applyFill="1" applyBorder="1" applyAlignment="1" applyProtection="1">
      <alignment vertical="center"/>
    </xf>
    <xf numFmtId="1" fontId="3" fillId="92" borderId="51" xfId="1" applyNumberFormat="1" applyFont="1" applyFill="1" applyBorder="1" applyAlignment="1" applyProtection="1">
      <alignment vertical="center"/>
    </xf>
    <xf numFmtId="165" fontId="1" fillId="92" borderId="36" xfId="1" applyNumberFormat="1" applyFont="1" applyFill="1" applyBorder="1" applyAlignment="1" applyProtection="1">
      <alignment vertical="center"/>
    </xf>
    <xf numFmtId="165" fontId="1" fillId="92" borderId="38" xfId="1" applyNumberFormat="1" applyFont="1" applyFill="1" applyBorder="1" applyAlignment="1" applyProtection="1">
      <alignment vertical="center"/>
    </xf>
    <xf numFmtId="0" fontId="78" fillId="93" borderId="47" xfId="0" applyFont="1" applyFill="1" applyBorder="1" applyAlignment="1" applyProtection="1">
      <alignment horizontal="center"/>
    </xf>
    <xf numFmtId="0" fontId="78" fillId="93" borderId="49" xfId="0" applyFont="1" applyFill="1" applyBorder="1" applyAlignment="1" applyProtection="1">
      <alignment horizontal="center"/>
    </xf>
    <xf numFmtId="0" fontId="78" fillId="93" borderId="30" xfId="0" applyFont="1" applyFill="1" applyBorder="1" applyAlignment="1" applyProtection="1">
      <alignment horizontal="center"/>
    </xf>
    <xf numFmtId="0" fontId="78" fillId="93" borderId="31" xfId="0" applyFont="1" applyFill="1" applyBorder="1" applyAlignment="1" applyProtection="1">
      <alignment horizontal="center"/>
    </xf>
    <xf numFmtId="0" fontId="70" fillId="92" borderId="36" xfId="0" applyFont="1" applyFill="1" applyBorder="1" applyAlignment="1" applyProtection="1">
      <alignment horizontal="center" vertical="center" wrapText="1"/>
    </xf>
    <xf numFmtId="0" fontId="70" fillId="92" borderId="38" xfId="0" applyFont="1" applyFill="1" applyBorder="1" applyAlignment="1" applyProtection="1">
      <alignment horizontal="center" vertical="center" wrapText="1"/>
    </xf>
    <xf numFmtId="164" fontId="0" fillId="0" borderId="60" xfId="0" applyNumberFormat="1" applyFill="1" applyBorder="1" applyAlignment="1" applyProtection="1">
      <alignment horizontal="center" vertical="center"/>
    </xf>
    <xf numFmtId="164" fontId="0" fillId="0" borderId="63" xfId="0" applyNumberFormat="1" applyFill="1" applyBorder="1" applyAlignment="1" applyProtection="1">
      <alignment horizontal="center" vertical="center"/>
    </xf>
    <xf numFmtId="0" fontId="76" fillId="93" borderId="47" xfId="0" applyFont="1" applyFill="1" applyBorder="1" applyAlignment="1" applyProtection="1">
      <alignment horizontal="center"/>
      <protection locked="0"/>
    </xf>
    <xf numFmtId="0" fontId="76" fillId="93" borderId="48" xfId="0" applyFont="1" applyFill="1" applyBorder="1" applyAlignment="1" applyProtection="1">
      <alignment horizontal="center"/>
      <protection locked="0"/>
    </xf>
    <xf numFmtId="0" fontId="76" fillId="93" borderId="49" xfId="0" applyFont="1" applyFill="1" applyBorder="1" applyAlignment="1" applyProtection="1">
      <alignment horizontal="center"/>
      <protection locked="0"/>
    </xf>
    <xf numFmtId="0" fontId="70" fillId="93" borderId="30" xfId="0" applyFont="1" applyFill="1" applyBorder="1" applyAlignment="1" applyProtection="1">
      <alignment horizontal="center"/>
      <protection locked="0"/>
    </xf>
    <xf numFmtId="0" fontId="70" fillId="93" borderId="0" xfId="0" applyFont="1" applyFill="1" applyBorder="1" applyAlignment="1" applyProtection="1">
      <alignment horizontal="center"/>
      <protection locked="0"/>
    </xf>
    <xf numFmtId="0" fontId="70" fillId="93" borderId="31" xfId="0" applyFont="1" applyFill="1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</xf>
    <xf numFmtId="0" fontId="70" fillId="93" borderId="30" xfId="0" applyFont="1" applyFill="1" applyBorder="1" applyAlignment="1" applyProtection="1">
      <alignment horizontal="right"/>
    </xf>
    <xf numFmtId="0" fontId="70" fillId="93" borderId="0" xfId="0" applyFont="1" applyFill="1" applyBorder="1" applyAlignment="1" applyProtection="1">
      <alignment horizontal="right"/>
    </xf>
    <xf numFmtId="0" fontId="70" fillId="93" borderId="31" xfId="0" applyFont="1" applyFill="1" applyBorder="1" applyAlignment="1" applyProtection="1">
      <alignment horizontal="right"/>
    </xf>
    <xf numFmtId="0" fontId="70" fillId="92" borderId="56" xfId="0" applyFont="1" applyFill="1" applyBorder="1" applyAlignment="1" applyProtection="1">
      <alignment horizontal="right" vertical="center"/>
    </xf>
    <xf numFmtId="0" fontId="70" fillId="92" borderId="57" xfId="0" applyFont="1" applyFill="1" applyBorder="1" applyAlignment="1" applyProtection="1">
      <alignment horizontal="right" vertical="center"/>
    </xf>
    <xf numFmtId="0" fontId="70" fillId="92" borderId="58" xfId="0" applyFont="1" applyFill="1" applyBorder="1" applyAlignment="1" applyProtection="1">
      <alignment horizontal="right" vertical="center"/>
    </xf>
    <xf numFmtId="0" fontId="70" fillId="92" borderId="39" xfId="0" applyFont="1" applyFill="1" applyBorder="1" applyAlignment="1" applyProtection="1">
      <alignment horizontal="right" vertical="center"/>
    </xf>
    <xf numFmtId="0" fontId="70" fillId="92" borderId="40" xfId="0" applyFont="1" applyFill="1" applyBorder="1" applyAlignment="1" applyProtection="1">
      <alignment horizontal="right" vertical="center"/>
    </xf>
    <xf numFmtId="0" fontId="70" fillId="92" borderId="41" xfId="0" applyFont="1" applyFill="1" applyBorder="1" applyAlignment="1" applyProtection="1">
      <alignment horizontal="right" vertical="center"/>
    </xf>
    <xf numFmtId="0" fontId="70" fillId="93" borderId="56" xfId="0" applyFont="1" applyFill="1" applyBorder="1" applyAlignment="1" applyProtection="1">
      <alignment horizontal="right"/>
    </xf>
    <xf numFmtId="0" fontId="70" fillId="93" borderId="57" xfId="0" applyFont="1" applyFill="1" applyBorder="1" applyAlignment="1" applyProtection="1">
      <alignment horizontal="right"/>
    </xf>
    <xf numFmtId="0" fontId="70" fillId="93" borderId="58" xfId="0" applyFont="1" applyFill="1" applyBorder="1" applyAlignment="1" applyProtection="1">
      <alignment horizontal="right"/>
    </xf>
    <xf numFmtId="0" fontId="70" fillId="93" borderId="30" xfId="0" applyFont="1" applyFill="1" applyBorder="1" applyAlignment="1" applyProtection="1">
      <alignment horizontal="right" vertical="center"/>
    </xf>
    <xf numFmtId="0" fontId="70" fillId="93" borderId="0" xfId="0" applyFont="1" applyFill="1" applyBorder="1" applyAlignment="1" applyProtection="1">
      <alignment horizontal="right" vertical="center"/>
    </xf>
    <xf numFmtId="0" fontId="70" fillId="93" borderId="31" xfId="0" applyFont="1" applyFill="1" applyBorder="1" applyAlignment="1" applyProtection="1">
      <alignment horizontal="right" vertical="center"/>
    </xf>
    <xf numFmtId="0" fontId="80" fillId="0" borderId="0" xfId="0" applyFont="1" applyBorder="1" applyAlignment="1" applyProtection="1">
      <alignment horizontal="center" vertical="center"/>
    </xf>
    <xf numFmtId="0" fontId="70" fillId="0" borderId="37" xfId="0" applyFont="1" applyFill="1" applyBorder="1" applyAlignment="1" applyProtection="1">
      <alignment horizontal="center" vertical="center"/>
    </xf>
    <xf numFmtId="0" fontId="70" fillId="93" borderId="47" xfId="0" applyFont="1" applyFill="1" applyBorder="1" applyAlignment="1" applyProtection="1">
      <alignment horizontal="right"/>
    </xf>
    <xf numFmtId="0" fontId="70" fillId="93" borderId="48" xfId="0" applyFont="1" applyFill="1" applyBorder="1" applyAlignment="1" applyProtection="1">
      <alignment horizontal="right"/>
    </xf>
    <xf numFmtId="0" fontId="70" fillId="93" borderId="49" xfId="0" applyFont="1" applyFill="1" applyBorder="1" applyAlignment="1" applyProtection="1">
      <alignment horizontal="right"/>
    </xf>
    <xf numFmtId="0" fontId="81" fillId="93" borderId="44" xfId="0" applyFont="1" applyFill="1" applyBorder="1" applyAlignment="1" applyProtection="1">
      <alignment horizontal="right" vertical="center"/>
    </xf>
    <xf numFmtId="0" fontId="81" fillId="93" borderId="42" xfId="0" applyFont="1" applyFill="1" applyBorder="1" applyAlignment="1" applyProtection="1">
      <alignment horizontal="right" vertical="center"/>
    </xf>
    <xf numFmtId="0" fontId="81" fillId="93" borderId="43" xfId="0" applyFont="1" applyFill="1" applyBorder="1" applyAlignment="1" applyProtection="1">
      <alignment horizontal="right" vertical="center"/>
    </xf>
    <xf numFmtId="3" fontId="65" fillId="0" borderId="64" xfId="0" applyNumberFormat="1" applyFont="1" applyFill="1" applyBorder="1" applyAlignment="1" applyProtection="1">
      <alignment horizontal="left" vertical="top" wrapText="1" indent="1"/>
      <protection locked="0"/>
    </xf>
    <xf numFmtId="3" fontId="65" fillId="0" borderId="65" xfId="0" applyNumberFormat="1" applyFont="1" applyFill="1" applyBorder="1" applyAlignment="1" applyProtection="1">
      <alignment horizontal="left" vertical="top" wrapText="1" indent="1"/>
      <protection locked="0"/>
    </xf>
    <xf numFmtId="3" fontId="65" fillId="0" borderId="66" xfId="0" applyNumberFormat="1" applyFont="1" applyFill="1" applyBorder="1" applyAlignment="1" applyProtection="1">
      <alignment horizontal="left" vertical="top" wrapText="1" indent="1"/>
      <protection locked="0"/>
    </xf>
    <xf numFmtId="3" fontId="65" fillId="0" borderId="64" xfId="0" applyNumberFormat="1" applyFont="1" applyFill="1" applyBorder="1" applyAlignment="1" applyProtection="1">
      <alignment horizontal="center" vertical="center"/>
    </xf>
    <xf numFmtId="3" fontId="65" fillId="0" borderId="66" xfId="0" applyNumberFormat="1" applyFont="1" applyFill="1" applyBorder="1" applyAlignment="1" applyProtection="1">
      <alignment horizontal="center" vertical="center"/>
    </xf>
    <xf numFmtId="0" fontId="75" fillId="0" borderId="64" xfId="0" applyFont="1" applyFill="1" applyBorder="1" applyAlignment="1" applyProtection="1">
      <alignment horizontal="left" vertical="center" indent="1"/>
      <protection locked="0"/>
    </xf>
    <xf numFmtId="0" fontId="75" fillId="0" borderId="65" xfId="0" applyFont="1" applyFill="1" applyBorder="1" applyAlignment="1" applyProtection="1">
      <alignment horizontal="left" vertical="center" indent="1"/>
      <protection locked="0"/>
    </xf>
    <xf numFmtId="0" fontId="75" fillId="0" borderId="66" xfId="0" applyFont="1" applyFill="1" applyBorder="1" applyAlignment="1" applyProtection="1">
      <alignment horizontal="left" vertical="center" indent="1"/>
      <protection locked="0"/>
    </xf>
    <xf numFmtId="14" fontId="65" fillId="0" borderId="64" xfId="0" applyNumberFormat="1" applyFont="1" applyFill="1" applyBorder="1" applyAlignment="1" applyProtection="1">
      <alignment horizontal="center" vertical="center"/>
      <protection locked="0"/>
    </xf>
    <xf numFmtId="14" fontId="65" fillId="0" borderId="66" xfId="0" applyNumberFormat="1" applyFont="1" applyFill="1" applyBorder="1" applyAlignment="1" applyProtection="1">
      <alignment horizontal="center" vertical="center"/>
      <protection locked="0"/>
    </xf>
    <xf numFmtId="0" fontId="65" fillId="0" borderId="64" xfId="0" applyFont="1" applyFill="1" applyBorder="1" applyAlignment="1" applyProtection="1">
      <alignment horizontal="left" vertical="center" indent="1"/>
      <protection locked="0"/>
    </xf>
    <xf numFmtId="0" fontId="65" fillId="0" borderId="65" xfId="0" applyFont="1" applyFill="1" applyBorder="1" applyAlignment="1" applyProtection="1">
      <alignment horizontal="left" vertical="center" indent="1"/>
      <protection locked="0"/>
    </xf>
    <xf numFmtId="0" fontId="65" fillId="0" borderId="66" xfId="0" applyFont="1" applyFill="1" applyBorder="1" applyAlignment="1" applyProtection="1">
      <alignment horizontal="left" vertical="center" indent="1"/>
      <protection locked="0"/>
    </xf>
    <xf numFmtId="0" fontId="70" fillId="0" borderId="64" xfId="0" applyFont="1" applyFill="1" applyBorder="1" applyAlignment="1" applyProtection="1">
      <alignment horizontal="left" vertical="center" indent="1"/>
      <protection locked="0"/>
    </xf>
    <xf numFmtId="0" fontId="70" fillId="0" borderId="65" xfId="0" applyFont="1" applyFill="1" applyBorder="1" applyAlignment="1" applyProtection="1">
      <alignment horizontal="left" vertical="center" indent="1"/>
      <protection locked="0"/>
    </xf>
    <xf numFmtId="0" fontId="70" fillId="0" borderId="66" xfId="0" applyFont="1" applyFill="1" applyBorder="1" applyAlignment="1" applyProtection="1">
      <alignment horizontal="left" vertical="center" indent="1"/>
      <protection locked="0"/>
    </xf>
  </cellXfs>
  <cellStyles count="9236">
    <cellStyle name="20% - Ênfase1 10" xfId="3" xr:uid="{00000000-0005-0000-0000-000000000000}"/>
    <cellStyle name="20% - Ênfase1 10 2" xfId="4" xr:uid="{00000000-0005-0000-0000-000001000000}"/>
    <cellStyle name="20% - Ênfase1 10 2 2" xfId="5" xr:uid="{00000000-0005-0000-0000-000002000000}"/>
    <cellStyle name="20% - Ênfase1 10 3" xfId="6" xr:uid="{00000000-0005-0000-0000-000003000000}"/>
    <cellStyle name="20% - Ênfase1 10 3 2" xfId="7" xr:uid="{00000000-0005-0000-0000-000004000000}"/>
    <cellStyle name="20% - Ênfase1 10 4" xfId="8" xr:uid="{00000000-0005-0000-0000-000005000000}"/>
    <cellStyle name="20% - Ênfase1 100" xfId="9" xr:uid="{00000000-0005-0000-0000-000006000000}"/>
    <cellStyle name="20% - Ênfase1 101" xfId="10" xr:uid="{00000000-0005-0000-0000-000007000000}"/>
    <cellStyle name="20% - Ênfase1 102" xfId="11" xr:uid="{00000000-0005-0000-0000-000008000000}"/>
    <cellStyle name="20% - Ênfase1 103" xfId="12" xr:uid="{00000000-0005-0000-0000-000009000000}"/>
    <cellStyle name="20% - Ênfase1 104" xfId="13" xr:uid="{00000000-0005-0000-0000-00000A000000}"/>
    <cellStyle name="20% - Ênfase1 105" xfId="14" xr:uid="{00000000-0005-0000-0000-00000B000000}"/>
    <cellStyle name="20% - Ênfase1 106" xfId="15" xr:uid="{00000000-0005-0000-0000-00000C000000}"/>
    <cellStyle name="20% - Ênfase1 107" xfId="16" xr:uid="{00000000-0005-0000-0000-00000D000000}"/>
    <cellStyle name="20% - Ênfase1 108" xfId="17" xr:uid="{00000000-0005-0000-0000-00000E000000}"/>
    <cellStyle name="20% - Ênfase1 109" xfId="18" xr:uid="{00000000-0005-0000-0000-00000F000000}"/>
    <cellStyle name="20% - Ênfase1 11" xfId="19" xr:uid="{00000000-0005-0000-0000-000010000000}"/>
    <cellStyle name="20% - Ênfase1 11 2" xfId="20" xr:uid="{00000000-0005-0000-0000-000011000000}"/>
    <cellStyle name="20% - Ênfase1 11 2 2" xfId="21" xr:uid="{00000000-0005-0000-0000-000012000000}"/>
    <cellStyle name="20% - Ênfase1 11 3" xfId="22" xr:uid="{00000000-0005-0000-0000-000013000000}"/>
    <cellStyle name="20% - Ênfase1 11 3 2" xfId="23" xr:uid="{00000000-0005-0000-0000-000014000000}"/>
    <cellStyle name="20% - Ênfase1 11 4" xfId="24" xr:uid="{00000000-0005-0000-0000-000015000000}"/>
    <cellStyle name="20% - Ênfase1 110" xfId="25" xr:uid="{00000000-0005-0000-0000-000016000000}"/>
    <cellStyle name="20% - Ênfase1 111" xfId="26" xr:uid="{00000000-0005-0000-0000-000017000000}"/>
    <cellStyle name="20% - Ênfase1 112" xfId="27" xr:uid="{00000000-0005-0000-0000-000018000000}"/>
    <cellStyle name="20% - Ênfase1 113" xfId="28" xr:uid="{00000000-0005-0000-0000-000019000000}"/>
    <cellStyle name="20% - Ênfase1 114" xfId="29" xr:uid="{00000000-0005-0000-0000-00001A000000}"/>
    <cellStyle name="20% - Ênfase1 115" xfId="30" xr:uid="{00000000-0005-0000-0000-00001B000000}"/>
    <cellStyle name="20% - Ênfase1 116" xfId="31" xr:uid="{00000000-0005-0000-0000-00001C000000}"/>
    <cellStyle name="20% - Ênfase1 117" xfId="32" xr:uid="{00000000-0005-0000-0000-00001D000000}"/>
    <cellStyle name="20% - Ênfase1 118" xfId="33" xr:uid="{00000000-0005-0000-0000-00001E000000}"/>
    <cellStyle name="20% - Ênfase1 119" xfId="34" xr:uid="{00000000-0005-0000-0000-00001F000000}"/>
    <cellStyle name="20% - Ênfase1 12" xfId="35" xr:uid="{00000000-0005-0000-0000-000020000000}"/>
    <cellStyle name="20% - Ênfase1 12 2" xfId="36" xr:uid="{00000000-0005-0000-0000-000021000000}"/>
    <cellStyle name="20% - Ênfase1 12 2 2" xfId="37" xr:uid="{00000000-0005-0000-0000-000022000000}"/>
    <cellStyle name="20% - Ênfase1 12 3" xfId="38" xr:uid="{00000000-0005-0000-0000-000023000000}"/>
    <cellStyle name="20% - Ênfase1 12 3 2" xfId="39" xr:uid="{00000000-0005-0000-0000-000024000000}"/>
    <cellStyle name="20% - Ênfase1 12 4" xfId="40" xr:uid="{00000000-0005-0000-0000-000025000000}"/>
    <cellStyle name="20% - Ênfase1 120" xfId="41" xr:uid="{00000000-0005-0000-0000-000026000000}"/>
    <cellStyle name="20% - Ênfase1 13" xfId="42" xr:uid="{00000000-0005-0000-0000-000027000000}"/>
    <cellStyle name="20% - Ênfase1 13 2" xfId="43" xr:uid="{00000000-0005-0000-0000-000028000000}"/>
    <cellStyle name="20% - Ênfase1 13 2 2" xfId="44" xr:uid="{00000000-0005-0000-0000-000029000000}"/>
    <cellStyle name="20% - Ênfase1 13 3" xfId="45" xr:uid="{00000000-0005-0000-0000-00002A000000}"/>
    <cellStyle name="20% - Ênfase1 13 3 2" xfId="46" xr:uid="{00000000-0005-0000-0000-00002B000000}"/>
    <cellStyle name="20% - Ênfase1 13 4" xfId="47" xr:uid="{00000000-0005-0000-0000-00002C000000}"/>
    <cellStyle name="20% - Ênfase1 14" xfId="48" xr:uid="{00000000-0005-0000-0000-00002D000000}"/>
    <cellStyle name="20% - Ênfase1 14 2" xfId="49" xr:uid="{00000000-0005-0000-0000-00002E000000}"/>
    <cellStyle name="20% - Ênfase1 14 2 2" xfId="50" xr:uid="{00000000-0005-0000-0000-00002F000000}"/>
    <cellStyle name="20% - Ênfase1 14 3" xfId="51" xr:uid="{00000000-0005-0000-0000-000030000000}"/>
    <cellStyle name="20% - Ênfase1 14 3 2" xfId="52" xr:uid="{00000000-0005-0000-0000-000031000000}"/>
    <cellStyle name="20% - Ênfase1 14 4" xfId="53" xr:uid="{00000000-0005-0000-0000-000032000000}"/>
    <cellStyle name="20% - Ênfase1 15" xfId="54" xr:uid="{00000000-0005-0000-0000-000033000000}"/>
    <cellStyle name="20% - Ênfase1 15 2" xfId="55" xr:uid="{00000000-0005-0000-0000-000034000000}"/>
    <cellStyle name="20% - Ênfase1 16" xfId="56" xr:uid="{00000000-0005-0000-0000-000035000000}"/>
    <cellStyle name="20% - Ênfase1 16 2" xfId="57" xr:uid="{00000000-0005-0000-0000-000036000000}"/>
    <cellStyle name="20% - Ênfase1 17" xfId="58" xr:uid="{00000000-0005-0000-0000-000037000000}"/>
    <cellStyle name="20% - Ênfase1 17 2" xfId="59" xr:uid="{00000000-0005-0000-0000-000038000000}"/>
    <cellStyle name="20% - Ênfase1 18" xfId="60" xr:uid="{00000000-0005-0000-0000-000039000000}"/>
    <cellStyle name="20% - Ênfase1 18 2" xfId="61" xr:uid="{00000000-0005-0000-0000-00003A000000}"/>
    <cellStyle name="20% - Ênfase1 19" xfId="62" xr:uid="{00000000-0005-0000-0000-00003B000000}"/>
    <cellStyle name="20% - Ênfase1 19 2" xfId="63" xr:uid="{00000000-0005-0000-0000-00003C000000}"/>
    <cellStyle name="20% - Ênfase1 2" xfId="64" xr:uid="{00000000-0005-0000-0000-00003D000000}"/>
    <cellStyle name="20% - Ênfase1 2 2" xfId="65" xr:uid="{00000000-0005-0000-0000-00003E000000}"/>
    <cellStyle name="20% - Ênfase1 2 2 2" xfId="66" xr:uid="{00000000-0005-0000-0000-00003F000000}"/>
    <cellStyle name="20% - Ênfase1 2 2 2 2" xfId="67" xr:uid="{00000000-0005-0000-0000-000040000000}"/>
    <cellStyle name="20% - Ênfase1 2 2 2 2 2" xfId="68" xr:uid="{00000000-0005-0000-0000-000041000000}"/>
    <cellStyle name="20% - Ênfase1 2 2 2 2 2 2" xfId="69" xr:uid="{00000000-0005-0000-0000-000042000000}"/>
    <cellStyle name="20% - Ênfase1 2 2 2 2 2 2 2" xfId="70" xr:uid="{00000000-0005-0000-0000-000043000000}"/>
    <cellStyle name="20% - Ênfase1 2 2 2 2 2 3" xfId="71" xr:uid="{00000000-0005-0000-0000-000044000000}"/>
    <cellStyle name="20% - Ênfase1 2 2 2 2 3" xfId="72" xr:uid="{00000000-0005-0000-0000-000045000000}"/>
    <cellStyle name="20% - Ênfase1 2 2 2 2 3 2" xfId="73" xr:uid="{00000000-0005-0000-0000-000046000000}"/>
    <cellStyle name="20% - Ênfase1 2 2 2 3" xfId="74" xr:uid="{00000000-0005-0000-0000-000047000000}"/>
    <cellStyle name="20% - Ênfase1 2 2 2 3 2" xfId="75" xr:uid="{00000000-0005-0000-0000-000048000000}"/>
    <cellStyle name="20% - Ênfase1 2 2 2_BD" xfId="76" xr:uid="{00000000-0005-0000-0000-000049000000}"/>
    <cellStyle name="20% - Ênfase1 2 2 3" xfId="77" xr:uid="{00000000-0005-0000-0000-00004A000000}"/>
    <cellStyle name="20% - Ênfase1 2 2 3 2" xfId="78" xr:uid="{00000000-0005-0000-0000-00004B000000}"/>
    <cellStyle name="20% - Ênfase1 2 2 4" xfId="79" xr:uid="{00000000-0005-0000-0000-00004C000000}"/>
    <cellStyle name="20% - Ênfase1 2 2 5" xfId="80" xr:uid="{00000000-0005-0000-0000-00004D000000}"/>
    <cellStyle name="20% - Ênfase1 2 2 5 2" xfId="81" xr:uid="{00000000-0005-0000-0000-00004E000000}"/>
    <cellStyle name="20% - Ênfase1 2 2_BD" xfId="82" xr:uid="{00000000-0005-0000-0000-00004F000000}"/>
    <cellStyle name="20% - Ênfase1 2 3" xfId="83" xr:uid="{00000000-0005-0000-0000-000050000000}"/>
    <cellStyle name="20% - Ênfase1 2 3 2" xfId="84" xr:uid="{00000000-0005-0000-0000-000051000000}"/>
    <cellStyle name="20% - Ênfase1 2 3_BD" xfId="85" xr:uid="{00000000-0005-0000-0000-000052000000}"/>
    <cellStyle name="20% - Ênfase1 2 4" xfId="86" xr:uid="{00000000-0005-0000-0000-000053000000}"/>
    <cellStyle name="20% - Ênfase1 2 5" xfId="87" xr:uid="{00000000-0005-0000-0000-000054000000}"/>
    <cellStyle name="20% - Ênfase1 2 6" xfId="88" xr:uid="{00000000-0005-0000-0000-000055000000}"/>
    <cellStyle name="20% - Ênfase1 2 6 2" xfId="89" xr:uid="{00000000-0005-0000-0000-000056000000}"/>
    <cellStyle name="20% - Ênfase1 2_BD" xfId="90" xr:uid="{00000000-0005-0000-0000-000057000000}"/>
    <cellStyle name="20% - Ênfase1 20" xfId="91" xr:uid="{00000000-0005-0000-0000-000058000000}"/>
    <cellStyle name="20% - Ênfase1 20 2" xfId="92" xr:uid="{00000000-0005-0000-0000-000059000000}"/>
    <cellStyle name="20% - Ênfase1 21" xfId="93" xr:uid="{00000000-0005-0000-0000-00005A000000}"/>
    <cellStyle name="20% - Ênfase1 21 2" xfId="94" xr:uid="{00000000-0005-0000-0000-00005B000000}"/>
    <cellStyle name="20% - Ênfase1 22" xfId="95" xr:uid="{00000000-0005-0000-0000-00005C000000}"/>
    <cellStyle name="20% - Ênfase1 22 2" xfId="96" xr:uid="{00000000-0005-0000-0000-00005D000000}"/>
    <cellStyle name="20% - Ênfase1 23" xfId="97" xr:uid="{00000000-0005-0000-0000-00005E000000}"/>
    <cellStyle name="20% - Ênfase1 23 2" xfId="98" xr:uid="{00000000-0005-0000-0000-00005F000000}"/>
    <cellStyle name="20% - Ênfase1 24" xfId="99" xr:uid="{00000000-0005-0000-0000-000060000000}"/>
    <cellStyle name="20% - Ênfase1 24 2" xfId="100" xr:uid="{00000000-0005-0000-0000-000061000000}"/>
    <cellStyle name="20% - Ênfase1 25" xfId="101" xr:uid="{00000000-0005-0000-0000-000062000000}"/>
    <cellStyle name="20% - Ênfase1 25 2" xfId="102" xr:uid="{00000000-0005-0000-0000-000063000000}"/>
    <cellStyle name="20% - Ênfase1 26" xfId="103" xr:uid="{00000000-0005-0000-0000-000064000000}"/>
    <cellStyle name="20% - Ênfase1 26 2" xfId="104" xr:uid="{00000000-0005-0000-0000-000065000000}"/>
    <cellStyle name="20% - Ênfase1 27" xfId="105" xr:uid="{00000000-0005-0000-0000-000066000000}"/>
    <cellStyle name="20% - Ênfase1 27 2" xfId="106" xr:uid="{00000000-0005-0000-0000-000067000000}"/>
    <cellStyle name="20% - Ênfase1 28" xfId="107" xr:uid="{00000000-0005-0000-0000-000068000000}"/>
    <cellStyle name="20% - Ênfase1 28 2" xfId="108" xr:uid="{00000000-0005-0000-0000-000069000000}"/>
    <cellStyle name="20% - Ênfase1 29" xfId="109" xr:uid="{00000000-0005-0000-0000-00006A000000}"/>
    <cellStyle name="20% - Ênfase1 3" xfId="110" xr:uid="{00000000-0005-0000-0000-00006B000000}"/>
    <cellStyle name="20% - Ênfase1 3 2" xfId="111" xr:uid="{00000000-0005-0000-0000-00006C000000}"/>
    <cellStyle name="20% - Ênfase1 3 2 2" xfId="112" xr:uid="{00000000-0005-0000-0000-00006D000000}"/>
    <cellStyle name="20% - Ênfase1 3 2_BD" xfId="113" xr:uid="{00000000-0005-0000-0000-00006E000000}"/>
    <cellStyle name="20% - Ênfase1 3 3" xfId="114" xr:uid="{00000000-0005-0000-0000-00006F000000}"/>
    <cellStyle name="20% - Ênfase1 3 3 2" xfId="115" xr:uid="{00000000-0005-0000-0000-000070000000}"/>
    <cellStyle name="20% - Ênfase1 3 3_BD" xfId="116" xr:uid="{00000000-0005-0000-0000-000071000000}"/>
    <cellStyle name="20% - Ênfase1 3 4" xfId="117" xr:uid="{00000000-0005-0000-0000-000072000000}"/>
    <cellStyle name="20% - Ênfase1 30" xfId="118" xr:uid="{00000000-0005-0000-0000-000073000000}"/>
    <cellStyle name="20% - Ênfase1 31" xfId="119" xr:uid="{00000000-0005-0000-0000-000074000000}"/>
    <cellStyle name="20% - Ênfase1 32" xfId="120" xr:uid="{00000000-0005-0000-0000-000075000000}"/>
    <cellStyle name="20% - Ênfase1 33" xfId="121" xr:uid="{00000000-0005-0000-0000-000076000000}"/>
    <cellStyle name="20% - Ênfase1 34" xfId="122" xr:uid="{00000000-0005-0000-0000-000077000000}"/>
    <cellStyle name="20% - Ênfase1 35" xfId="123" xr:uid="{00000000-0005-0000-0000-000078000000}"/>
    <cellStyle name="20% - Ênfase1 36" xfId="124" xr:uid="{00000000-0005-0000-0000-000079000000}"/>
    <cellStyle name="20% - Ênfase1 36 2" xfId="125" xr:uid="{00000000-0005-0000-0000-00007A000000}"/>
    <cellStyle name="20% - Ênfase1 36 3" xfId="126" xr:uid="{00000000-0005-0000-0000-00007B000000}"/>
    <cellStyle name="20% - Ênfase1 36 4" xfId="127" xr:uid="{00000000-0005-0000-0000-00007C000000}"/>
    <cellStyle name="20% - Ênfase1 37" xfId="128" xr:uid="{00000000-0005-0000-0000-00007D000000}"/>
    <cellStyle name="20% - Ênfase1 37 2" xfId="129" xr:uid="{00000000-0005-0000-0000-00007E000000}"/>
    <cellStyle name="20% - Ênfase1 37 3" xfId="130" xr:uid="{00000000-0005-0000-0000-00007F000000}"/>
    <cellStyle name="20% - Ênfase1 37 4" xfId="131" xr:uid="{00000000-0005-0000-0000-000080000000}"/>
    <cellStyle name="20% - Ênfase1 38" xfId="132" xr:uid="{00000000-0005-0000-0000-000081000000}"/>
    <cellStyle name="20% - Ênfase1 38 2" xfId="133" xr:uid="{00000000-0005-0000-0000-000082000000}"/>
    <cellStyle name="20% - Ênfase1 38 3" xfId="134" xr:uid="{00000000-0005-0000-0000-000083000000}"/>
    <cellStyle name="20% - Ênfase1 38 4" xfId="135" xr:uid="{00000000-0005-0000-0000-000084000000}"/>
    <cellStyle name="20% - Ênfase1 39" xfId="136" xr:uid="{00000000-0005-0000-0000-000085000000}"/>
    <cellStyle name="20% - Ênfase1 39 2" xfId="137" xr:uid="{00000000-0005-0000-0000-000086000000}"/>
    <cellStyle name="20% - Ênfase1 39 3" xfId="138" xr:uid="{00000000-0005-0000-0000-000087000000}"/>
    <cellStyle name="20% - Ênfase1 39 4" xfId="139" xr:uid="{00000000-0005-0000-0000-000088000000}"/>
    <cellStyle name="20% - Ênfase1 4" xfId="140" xr:uid="{00000000-0005-0000-0000-000089000000}"/>
    <cellStyle name="20% - Ênfase1 4 2" xfId="141" xr:uid="{00000000-0005-0000-0000-00008A000000}"/>
    <cellStyle name="20% - Ênfase1 4 2 2" xfId="142" xr:uid="{00000000-0005-0000-0000-00008B000000}"/>
    <cellStyle name="20% - Ênfase1 4 2_BD" xfId="143" xr:uid="{00000000-0005-0000-0000-00008C000000}"/>
    <cellStyle name="20% - Ênfase1 4 3" xfId="144" xr:uid="{00000000-0005-0000-0000-00008D000000}"/>
    <cellStyle name="20% - Ênfase1 4 3 2" xfId="145" xr:uid="{00000000-0005-0000-0000-00008E000000}"/>
    <cellStyle name="20% - Ênfase1 4 3_BD" xfId="146" xr:uid="{00000000-0005-0000-0000-00008F000000}"/>
    <cellStyle name="20% - Ênfase1 4 4" xfId="147" xr:uid="{00000000-0005-0000-0000-000090000000}"/>
    <cellStyle name="20% - Ênfase1 40" xfId="148" xr:uid="{00000000-0005-0000-0000-000091000000}"/>
    <cellStyle name="20% - Ênfase1 40 2" xfId="149" xr:uid="{00000000-0005-0000-0000-000092000000}"/>
    <cellStyle name="20% - Ênfase1 41" xfId="150" xr:uid="{00000000-0005-0000-0000-000093000000}"/>
    <cellStyle name="20% - Ênfase1 42" xfId="151" xr:uid="{00000000-0005-0000-0000-000094000000}"/>
    <cellStyle name="20% - Ênfase1 43" xfId="152" xr:uid="{00000000-0005-0000-0000-000095000000}"/>
    <cellStyle name="20% - Ênfase1 44" xfId="153" xr:uid="{00000000-0005-0000-0000-000096000000}"/>
    <cellStyle name="20% - Ênfase1 45" xfId="154" xr:uid="{00000000-0005-0000-0000-000097000000}"/>
    <cellStyle name="20% - Ênfase1 46" xfId="155" xr:uid="{00000000-0005-0000-0000-000098000000}"/>
    <cellStyle name="20% - Ênfase1 47" xfId="156" xr:uid="{00000000-0005-0000-0000-000099000000}"/>
    <cellStyle name="20% - Ênfase1 48" xfId="157" xr:uid="{00000000-0005-0000-0000-00009A000000}"/>
    <cellStyle name="20% - Ênfase1 49" xfId="158" xr:uid="{00000000-0005-0000-0000-00009B000000}"/>
    <cellStyle name="20% - Ênfase1 5" xfId="159" xr:uid="{00000000-0005-0000-0000-00009C000000}"/>
    <cellStyle name="20% - Ênfase1 5 2" xfId="160" xr:uid="{00000000-0005-0000-0000-00009D000000}"/>
    <cellStyle name="20% - Ênfase1 5 2 2" xfId="161" xr:uid="{00000000-0005-0000-0000-00009E000000}"/>
    <cellStyle name="20% - Ênfase1 5 2_BD" xfId="162" xr:uid="{00000000-0005-0000-0000-00009F000000}"/>
    <cellStyle name="20% - Ênfase1 5 3" xfId="163" xr:uid="{00000000-0005-0000-0000-0000A0000000}"/>
    <cellStyle name="20% - Ênfase1 5 3 2" xfId="164" xr:uid="{00000000-0005-0000-0000-0000A1000000}"/>
    <cellStyle name="20% - Ênfase1 5 4" xfId="165" xr:uid="{00000000-0005-0000-0000-0000A2000000}"/>
    <cellStyle name="20% - Ênfase1 50" xfId="166" xr:uid="{00000000-0005-0000-0000-0000A3000000}"/>
    <cellStyle name="20% - Ênfase1 51" xfId="167" xr:uid="{00000000-0005-0000-0000-0000A4000000}"/>
    <cellStyle name="20% - Ênfase1 52" xfId="168" xr:uid="{00000000-0005-0000-0000-0000A5000000}"/>
    <cellStyle name="20% - Ênfase1 53" xfId="169" xr:uid="{00000000-0005-0000-0000-0000A6000000}"/>
    <cellStyle name="20% - Ênfase1 54" xfId="170" xr:uid="{00000000-0005-0000-0000-0000A7000000}"/>
    <cellStyle name="20% - Ênfase1 55" xfId="171" xr:uid="{00000000-0005-0000-0000-0000A8000000}"/>
    <cellStyle name="20% - Ênfase1 56" xfId="172" xr:uid="{00000000-0005-0000-0000-0000A9000000}"/>
    <cellStyle name="20% - Ênfase1 57" xfId="173" xr:uid="{00000000-0005-0000-0000-0000AA000000}"/>
    <cellStyle name="20% - Ênfase1 58" xfId="174" xr:uid="{00000000-0005-0000-0000-0000AB000000}"/>
    <cellStyle name="20% - Ênfase1 59" xfId="175" xr:uid="{00000000-0005-0000-0000-0000AC000000}"/>
    <cellStyle name="20% - Ênfase1 6" xfId="176" xr:uid="{00000000-0005-0000-0000-0000AD000000}"/>
    <cellStyle name="20% - Ênfase1 6 2" xfId="177" xr:uid="{00000000-0005-0000-0000-0000AE000000}"/>
    <cellStyle name="20% - Ênfase1 6 2 2" xfId="178" xr:uid="{00000000-0005-0000-0000-0000AF000000}"/>
    <cellStyle name="20% - Ênfase1 6 2_BD" xfId="179" xr:uid="{00000000-0005-0000-0000-0000B0000000}"/>
    <cellStyle name="20% - Ênfase1 6 3" xfId="180" xr:uid="{00000000-0005-0000-0000-0000B1000000}"/>
    <cellStyle name="20% - Ênfase1 6 3 2" xfId="181" xr:uid="{00000000-0005-0000-0000-0000B2000000}"/>
    <cellStyle name="20% - Ênfase1 6 4" xfId="182" xr:uid="{00000000-0005-0000-0000-0000B3000000}"/>
    <cellStyle name="20% - Ênfase1 60" xfId="183" xr:uid="{00000000-0005-0000-0000-0000B4000000}"/>
    <cellStyle name="20% - Ênfase1 61" xfId="184" xr:uid="{00000000-0005-0000-0000-0000B5000000}"/>
    <cellStyle name="20% - Ênfase1 62" xfId="185" xr:uid="{00000000-0005-0000-0000-0000B6000000}"/>
    <cellStyle name="20% - Ênfase1 63" xfId="186" xr:uid="{00000000-0005-0000-0000-0000B7000000}"/>
    <cellStyle name="20% - Ênfase1 64" xfId="187" xr:uid="{00000000-0005-0000-0000-0000B8000000}"/>
    <cellStyle name="20% - Ênfase1 65" xfId="188" xr:uid="{00000000-0005-0000-0000-0000B9000000}"/>
    <cellStyle name="20% - Ênfase1 66" xfId="189" xr:uid="{00000000-0005-0000-0000-0000BA000000}"/>
    <cellStyle name="20% - Ênfase1 67" xfId="190" xr:uid="{00000000-0005-0000-0000-0000BB000000}"/>
    <cellStyle name="20% - Ênfase1 68" xfId="191" xr:uid="{00000000-0005-0000-0000-0000BC000000}"/>
    <cellStyle name="20% - Ênfase1 69" xfId="192" xr:uid="{00000000-0005-0000-0000-0000BD000000}"/>
    <cellStyle name="20% - Ênfase1 7" xfId="193" xr:uid="{00000000-0005-0000-0000-0000BE000000}"/>
    <cellStyle name="20% - Ênfase1 7 2" xfId="194" xr:uid="{00000000-0005-0000-0000-0000BF000000}"/>
    <cellStyle name="20% - Ênfase1 7 2 2" xfId="195" xr:uid="{00000000-0005-0000-0000-0000C0000000}"/>
    <cellStyle name="20% - Ênfase1 7 2_BD" xfId="196" xr:uid="{00000000-0005-0000-0000-0000C1000000}"/>
    <cellStyle name="20% - Ênfase1 7 3" xfId="197" xr:uid="{00000000-0005-0000-0000-0000C2000000}"/>
    <cellStyle name="20% - Ênfase1 7 3 2" xfId="198" xr:uid="{00000000-0005-0000-0000-0000C3000000}"/>
    <cellStyle name="20% - Ênfase1 7 4" xfId="199" xr:uid="{00000000-0005-0000-0000-0000C4000000}"/>
    <cellStyle name="20% - Ênfase1 70" xfId="200" xr:uid="{00000000-0005-0000-0000-0000C5000000}"/>
    <cellStyle name="20% - Ênfase1 71" xfId="201" xr:uid="{00000000-0005-0000-0000-0000C6000000}"/>
    <cellStyle name="20% - Ênfase1 72" xfId="202" xr:uid="{00000000-0005-0000-0000-0000C7000000}"/>
    <cellStyle name="20% - Ênfase1 73" xfId="203" xr:uid="{00000000-0005-0000-0000-0000C8000000}"/>
    <cellStyle name="20% - Ênfase1 74" xfId="204" xr:uid="{00000000-0005-0000-0000-0000C9000000}"/>
    <cellStyle name="20% - Ênfase1 75" xfId="205" xr:uid="{00000000-0005-0000-0000-0000CA000000}"/>
    <cellStyle name="20% - Ênfase1 76" xfId="206" xr:uid="{00000000-0005-0000-0000-0000CB000000}"/>
    <cellStyle name="20% - Ênfase1 77" xfId="207" xr:uid="{00000000-0005-0000-0000-0000CC000000}"/>
    <cellStyle name="20% - Ênfase1 78" xfId="208" xr:uid="{00000000-0005-0000-0000-0000CD000000}"/>
    <cellStyle name="20% - Ênfase1 79" xfId="209" xr:uid="{00000000-0005-0000-0000-0000CE000000}"/>
    <cellStyle name="20% - Ênfase1 8" xfId="210" xr:uid="{00000000-0005-0000-0000-0000CF000000}"/>
    <cellStyle name="20% - Ênfase1 8 2" xfId="211" xr:uid="{00000000-0005-0000-0000-0000D0000000}"/>
    <cellStyle name="20% - Ênfase1 8 2 2" xfId="212" xr:uid="{00000000-0005-0000-0000-0000D1000000}"/>
    <cellStyle name="20% - Ênfase1 8 3" xfId="213" xr:uid="{00000000-0005-0000-0000-0000D2000000}"/>
    <cellStyle name="20% - Ênfase1 8 3 2" xfId="214" xr:uid="{00000000-0005-0000-0000-0000D3000000}"/>
    <cellStyle name="20% - Ênfase1 8 4" xfId="215" xr:uid="{00000000-0005-0000-0000-0000D4000000}"/>
    <cellStyle name="20% - Ênfase1 80" xfId="216" xr:uid="{00000000-0005-0000-0000-0000D5000000}"/>
    <cellStyle name="20% - Ênfase1 81" xfId="217" xr:uid="{00000000-0005-0000-0000-0000D6000000}"/>
    <cellStyle name="20% - Ênfase1 82" xfId="218" xr:uid="{00000000-0005-0000-0000-0000D7000000}"/>
    <cellStyle name="20% - Ênfase1 83" xfId="219" xr:uid="{00000000-0005-0000-0000-0000D8000000}"/>
    <cellStyle name="20% - Ênfase1 84" xfId="220" xr:uid="{00000000-0005-0000-0000-0000D9000000}"/>
    <cellStyle name="20% - Ênfase1 85" xfId="221" xr:uid="{00000000-0005-0000-0000-0000DA000000}"/>
    <cellStyle name="20% - Ênfase1 86" xfId="222" xr:uid="{00000000-0005-0000-0000-0000DB000000}"/>
    <cellStyle name="20% - Ênfase1 87" xfId="223" xr:uid="{00000000-0005-0000-0000-0000DC000000}"/>
    <cellStyle name="20% - Ênfase1 88" xfId="224" xr:uid="{00000000-0005-0000-0000-0000DD000000}"/>
    <cellStyle name="20% - Ênfase1 89" xfId="225" xr:uid="{00000000-0005-0000-0000-0000DE000000}"/>
    <cellStyle name="20% - Ênfase1 9" xfId="226" xr:uid="{00000000-0005-0000-0000-0000DF000000}"/>
    <cellStyle name="20% - Ênfase1 9 2" xfId="227" xr:uid="{00000000-0005-0000-0000-0000E0000000}"/>
    <cellStyle name="20% - Ênfase1 9 2 2" xfId="228" xr:uid="{00000000-0005-0000-0000-0000E1000000}"/>
    <cellStyle name="20% - Ênfase1 9 3" xfId="229" xr:uid="{00000000-0005-0000-0000-0000E2000000}"/>
    <cellStyle name="20% - Ênfase1 9 3 2" xfId="230" xr:uid="{00000000-0005-0000-0000-0000E3000000}"/>
    <cellStyle name="20% - Ênfase1 9 4" xfId="231" xr:uid="{00000000-0005-0000-0000-0000E4000000}"/>
    <cellStyle name="20% - Ênfase1 90" xfId="232" xr:uid="{00000000-0005-0000-0000-0000E5000000}"/>
    <cellStyle name="20% - Ênfase1 91" xfId="233" xr:uid="{00000000-0005-0000-0000-0000E6000000}"/>
    <cellStyle name="20% - Ênfase1 92" xfId="234" xr:uid="{00000000-0005-0000-0000-0000E7000000}"/>
    <cellStyle name="20% - Ênfase1 93" xfId="235" xr:uid="{00000000-0005-0000-0000-0000E8000000}"/>
    <cellStyle name="20% - Ênfase1 94" xfId="236" xr:uid="{00000000-0005-0000-0000-0000E9000000}"/>
    <cellStyle name="20% - Ênfase1 95" xfId="237" xr:uid="{00000000-0005-0000-0000-0000EA000000}"/>
    <cellStyle name="20% - Ênfase1 96" xfId="238" xr:uid="{00000000-0005-0000-0000-0000EB000000}"/>
    <cellStyle name="20% - Ênfase1 97" xfId="239" xr:uid="{00000000-0005-0000-0000-0000EC000000}"/>
    <cellStyle name="20% - Ênfase1 98" xfId="240" xr:uid="{00000000-0005-0000-0000-0000ED000000}"/>
    <cellStyle name="20% - Ênfase1 99" xfId="241" xr:uid="{00000000-0005-0000-0000-0000EE000000}"/>
    <cellStyle name="20% - Ênfase2 10" xfId="242" xr:uid="{00000000-0005-0000-0000-0000EF000000}"/>
    <cellStyle name="20% - Ênfase2 10 2" xfId="243" xr:uid="{00000000-0005-0000-0000-0000F0000000}"/>
    <cellStyle name="20% - Ênfase2 10 2 2" xfId="244" xr:uid="{00000000-0005-0000-0000-0000F1000000}"/>
    <cellStyle name="20% - Ênfase2 10 3" xfId="245" xr:uid="{00000000-0005-0000-0000-0000F2000000}"/>
    <cellStyle name="20% - Ênfase2 10 3 2" xfId="246" xr:uid="{00000000-0005-0000-0000-0000F3000000}"/>
    <cellStyle name="20% - Ênfase2 10 4" xfId="247" xr:uid="{00000000-0005-0000-0000-0000F4000000}"/>
    <cellStyle name="20% - Ênfase2 100" xfId="248" xr:uid="{00000000-0005-0000-0000-0000F5000000}"/>
    <cellStyle name="20% - Ênfase2 101" xfId="249" xr:uid="{00000000-0005-0000-0000-0000F6000000}"/>
    <cellStyle name="20% - Ênfase2 102" xfId="250" xr:uid="{00000000-0005-0000-0000-0000F7000000}"/>
    <cellStyle name="20% - Ênfase2 103" xfId="251" xr:uid="{00000000-0005-0000-0000-0000F8000000}"/>
    <cellStyle name="20% - Ênfase2 104" xfId="252" xr:uid="{00000000-0005-0000-0000-0000F9000000}"/>
    <cellStyle name="20% - Ênfase2 105" xfId="253" xr:uid="{00000000-0005-0000-0000-0000FA000000}"/>
    <cellStyle name="20% - Ênfase2 106" xfId="254" xr:uid="{00000000-0005-0000-0000-0000FB000000}"/>
    <cellStyle name="20% - Ênfase2 107" xfId="255" xr:uid="{00000000-0005-0000-0000-0000FC000000}"/>
    <cellStyle name="20% - Ênfase2 108" xfId="256" xr:uid="{00000000-0005-0000-0000-0000FD000000}"/>
    <cellStyle name="20% - Ênfase2 109" xfId="257" xr:uid="{00000000-0005-0000-0000-0000FE000000}"/>
    <cellStyle name="20% - Ênfase2 11" xfId="258" xr:uid="{00000000-0005-0000-0000-0000FF000000}"/>
    <cellStyle name="20% - Ênfase2 11 2" xfId="259" xr:uid="{00000000-0005-0000-0000-000000010000}"/>
    <cellStyle name="20% - Ênfase2 11 2 2" xfId="260" xr:uid="{00000000-0005-0000-0000-000001010000}"/>
    <cellStyle name="20% - Ênfase2 11 3" xfId="261" xr:uid="{00000000-0005-0000-0000-000002010000}"/>
    <cellStyle name="20% - Ênfase2 11 3 2" xfId="262" xr:uid="{00000000-0005-0000-0000-000003010000}"/>
    <cellStyle name="20% - Ênfase2 11 4" xfId="263" xr:uid="{00000000-0005-0000-0000-000004010000}"/>
    <cellStyle name="20% - Ênfase2 110" xfId="264" xr:uid="{00000000-0005-0000-0000-000005010000}"/>
    <cellStyle name="20% - Ênfase2 111" xfId="265" xr:uid="{00000000-0005-0000-0000-000006010000}"/>
    <cellStyle name="20% - Ênfase2 112" xfId="266" xr:uid="{00000000-0005-0000-0000-000007010000}"/>
    <cellStyle name="20% - Ênfase2 113" xfId="267" xr:uid="{00000000-0005-0000-0000-000008010000}"/>
    <cellStyle name="20% - Ênfase2 114" xfId="268" xr:uid="{00000000-0005-0000-0000-000009010000}"/>
    <cellStyle name="20% - Ênfase2 115" xfId="269" xr:uid="{00000000-0005-0000-0000-00000A010000}"/>
    <cellStyle name="20% - Ênfase2 116" xfId="270" xr:uid="{00000000-0005-0000-0000-00000B010000}"/>
    <cellStyle name="20% - Ênfase2 117" xfId="271" xr:uid="{00000000-0005-0000-0000-00000C010000}"/>
    <cellStyle name="20% - Ênfase2 118" xfId="272" xr:uid="{00000000-0005-0000-0000-00000D010000}"/>
    <cellStyle name="20% - Ênfase2 119" xfId="273" xr:uid="{00000000-0005-0000-0000-00000E010000}"/>
    <cellStyle name="20% - Ênfase2 12" xfId="274" xr:uid="{00000000-0005-0000-0000-00000F010000}"/>
    <cellStyle name="20% - Ênfase2 12 2" xfId="275" xr:uid="{00000000-0005-0000-0000-000010010000}"/>
    <cellStyle name="20% - Ênfase2 12 2 2" xfId="276" xr:uid="{00000000-0005-0000-0000-000011010000}"/>
    <cellStyle name="20% - Ênfase2 12 3" xfId="277" xr:uid="{00000000-0005-0000-0000-000012010000}"/>
    <cellStyle name="20% - Ênfase2 12 3 2" xfId="278" xr:uid="{00000000-0005-0000-0000-000013010000}"/>
    <cellStyle name="20% - Ênfase2 12 4" xfId="279" xr:uid="{00000000-0005-0000-0000-000014010000}"/>
    <cellStyle name="20% - Ênfase2 120" xfId="280" xr:uid="{00000000-0005-0000-0000-000015010000}"/>
    <cellStyle name="20% - Ênfase2 13" xfId="281" xr:uid="{00000000-0005-0000-0000-000016010000}"/>
    <cellStyle name="20% - Ênfase2 13 2" xfId="282" xr:uid="{00000000-0005-0000-0000-000017010000}"/>
    <cellStyle name="20% - Ênfase2 13 2 2" xfId="283" xr:uid="{00000000-0005-0000-0000-000018010000}"/>
    <cellStyle name="20% - Ênfase2 13 3" xfId="284" xr:uid="{00000000-0005-0000-0000-000019010000}"/>
    <cellStyle name="20% - Ênfase2 13 3 2" xfId="285" xr:uid="{00000000-0005-0000-0000-00001A010000}"/>
    <cellStyle name="20% - Ênfase2 13 4" xfId="286" xr:uid="{00000000-0005-0000-0000-00001B010000}"/>
    <cellStyle name="20% - Ênfase2 14" xfId="287" xr:uid="{00000000-0005-0000-0000-00001C010000}"/>
    <cellStyle name="20% - Ênfase2 14 2" xfId="288" xr:uid="{00000000-0005-0000-0000-00001D010000}"/>
    <cellStyle name="20% - Ênfase2 14 2 2" xfId="289" xr:uid="{00000000-0005-0000-0000-00001E010000}"/>
    <cellStyle name="20% - Ênfase2 14 3" xfId="290" xr:uid="{00000000-0005-0000-0000-00001F010000}"/>
    <cellStyle name="20% - Ênfase2 14 3 2" xfId="291" xr:uid="{00000000-0005-0000-0000-000020010000}"/>
    <cellStyle name="20% - Ênfase2 14 4" xfId="292" xr:uid="{00000000-0005-0000-0000-000021010000}"/>
    <cellStyle name="20% - Ênfase2 15" xfId="293" xr:uid="{00000000-0005-0000-0000-000022010000}"/>
    <cellStyle name="20% - Ênfase2 15 2" xfId="294" xr:uid="{00000000-0005-0000-0000-000023010000}"/>
    <cellStyle name="20% - Ênfase2 16" xfId="295" xr:uid="{00000000-0005-0000-0000-000024010000}"/>
    <cellStyle name="20% - Ênfase2 16 2" xfId="296" xr:uid="{00000000-0005-0000-0000-000025010000}"/>
    <cellStyle name="20% - Ênfase2 17" xfId="297" xr:uid="{00000000-0005-0000-0000-000026010000}"/>
    <cellStyle name="20% - Ênfase2 17 2" xfId="298" xr:uid="{00000000-0005-0000-0000-000027010000}"/>
    <cellStyle name="20% - Ênfase2 18" xfId="299" xr:uid="{00000000-0005-0000-0000-000028010000}"/>
    <cellStyle name="20% - Ênfase2 18 2" xfId="300" xr:uid="{00000000-0005-0000-0000-000029010000}"/>
    <cellStyle name="20% - Ênfase2 19" xfId="301" xr:uid="{00000000-0005-0000-0000-00002A010000}"/>
    <cellStyle name="20% - Ênfase2 19 2" xfId="302" xr:uid="{00000000-0005-0000-0000-00002B010000}"/>
    <cellStyle name="20% - Ênfase2 2" xfId="303" xr:uid="{00000000-0005-0000-0000-00002C010000}"/>
    <cellStyle name="20% - Ênfase2 2 2" xfId="304" xr:uid="{00000000-0005-0000-0000-00002D010000}"/>
    <cellStyle name="20% - Ênfase2 2 2 2" xfId="305" xr:uid="{00000000-0005-0000-0000-00002E010000}"/>
    <cellStyle name="20% - Ênfase2 2 2 2 2" xfId="306" xr:uid="{00000000-0005-0000-0000-00002F010000}"/>
    <cellStyle name="20% - Ênfase2 2 2 2 2 2" xfId="307" xr:uid="{00000000-0005-0000-0000-000030010000}"/>
    <cellStyle name="20% - Ênfase2 2 2 2 2 2 2" xfId="308" xr:uid="{00000000-0005-0000-0000-000031010000}"/>
    <cellStyle name="20% - Ênfase2 2 2 2 2 2 2 2" xfId="309" xr:uid="{00000000-0005-0000-0000-000032010000}"/>
    <cellStyle name="20% - Ênfase2 2 2 2 2 2 3" xfId="310" xr:uid="{00000000-0005-0000-0000-000033010000}"/>
    <cellStyle name="20% - Ênfase2 2 2 2 2 3" xfId="311" xr:uid="{00000000-0005-0000-0000-000034010000}"/>
    <cellStyle name="20% - Ênfase2 2 2 2 2 3 2" xfId="312" xr:uid="{00000000-0005-0000-0000-000035010000}"/>
    <cellStyle name="20% - Ênfase2 2 2 2 3" xfId="313" xr:uid="{00000000-0005-0000-0000-000036010000}"/>
    <cellStyle name="20% - Ênfase2 2 2 2 3 2" xfId="314" xr:uid="{00000000-0005-0000-0000-000037010000}"/>
    <cellStyle name="20% - Ênfase2 2 2 2_BD" xfId="315" xr:uid="{00000000-0005-0000-0000-000038010000}"/>
    <cellStyle name="20% - Ênfase2 2 2 3" xfId="316" xr:uid="{00000000-0005-0000-0000-000039010000}"/>
    <cellStyle name="20% - Ênfase2 2 2 3 2" xfId="317" xr:uid="{00000000-0005-0000-0000-00003A010000}"/>
    <cellStyle name="20% - Ênfase2 2 2 4" xfId="318" xr:uid="{00000000-0005-0000-0000-00003B010000}"/>
    <cellStyle name="20% - Ênfase2 2 2 5" xfId="319" xr:uid="{00000000-0005-0000-0000-00003C010000}"/>
    <cellStyle name="20% - Ênfase2 2 2 5 2" xfId="320" xr:uid="{00000000-0005-0000-0000-00003D010000}"/>
    <cellStyle name="20% - Ênfase2 2 2_BD" xfId="321" xr:uid="{00000000-0005-0000-0000-00003E010000}"/>
    <cellStyle name="20% - Ênfase2 2 3" xfId="322" xr:uid="{00000000-0005-0000-0000-00003F010000}"/>
    <cellStyle name="20% - Ênfase2 2 3 2" xfId="323" xr:uid="{00000000-0005-0000-0000-000040010000}"/>
    <cellStyle name="20% - Ênfase2 2 3_BD" xfId="324" xr:uid="{00000000-0005-0000-0000-000041010000}"/>
    <cellStyle name="20% - Ênfase2 2 4" xfId="325" xr:uid="{00000000-0005-0000-0000-000042010000}"/>
    <cellStyle name="20% - Ênfase2 2 5" xfId="326" xr:uid="{00000000-0005-0000-0000-000043010000}"/>
    <cellStyle name="20% - Ênfase2 2 6" xfId="327" xr:uid="{00000000-0005-0000-0000-000044010000}"/>
    <cellStyle name="20% - Ênfase2 2 6 2" xfId="328" xr:uid="{00000000-0005-0000-0000-000045010000}"/>
    <cellStyle name="20% - Ênfase2 2_BD" xfId="329" xr:uid="{00000000-0005-0000-0000-000046010000}"/>
    <cellStyle name="20% - Ênfase2 20" xfId="330" xr:uid="{00000000-0005-0000-0000-000047010000}"/>
    <cellStyle name="20% - Ênfase2 20 2" xfId="331" xr:uid="{00000000-0005-0000-0000-000048010000}"/>
    <cellStyle name="20% - Ênfase2 21" xfId="332" xr:uid="{00000000-0005-0000-0000-000049010000}"/>
    <cellStyle name="20% - Ênfase2 21 2" xfId="333" xr:uid="{00000000-0005-0000-0000-00004A010000}"/>
    <cellStyle name="20% - Ênfase2 22" xfId="334" xr:uid="{00000000-0005-0000-0000-00004B010000}"/>
    <cellStyle name="20% - Ênfase2 22 2" xfId="335" xr:uid="{00000000-0005-0000-0000-00004C010000}"/>
    <cellStyle name="20% - Ênfase2 23" xfId="336" xr:uid="{00000000-0005-0000-0000-00004D010000}"/>
    <cellStyle name="20% - Ênfase2 23 2" xfId="337" xr:uid="{00000000-0005-0000-0000-00004E010000}"/>
    <cellStyle name="20% - Ênfase2 24" xfId="338" xr:uid="{00000000-0005-0000-0000-00004F010000}"/>
    <cellStyle name="20% - Ênfase2 24 2" xfId="339" xr:uid="{00000000-0005-0000-0000-000050010000}"/>
    <cellStyle name="20% - Ênfase2 25" xfId="340" xr:uid="{00000000-0005-0000-0000-000051010000}"/>
    <cellStyle name="20% - Ênfase2 25 2" xfId="341" xr:uid="{00000000-0005-0000-0000-000052010000}"/>
    <cellStyle name="20% - Ênfase2 26" xfId="342" xr:uid="{00000000-0005-0000-0000-000053010000}"/>
    <cellStyle name="20% - Ênfase2 26 2" xfId="343" xr:uid="{00000000-0005-0000-0000-000054010000}"/>
    <cellStyle name="20% - Ênfase2 27" xfId="344" xr:uid="{00000000-0005-0000-0000-000055010000}"/>
    <cellStyle name="20% - Ênfase2 27 2" xfId="345" xr:uid="{00000000-0005-0000-0000-000056010000}"/>
    <cellStyle name="20% - Ênfase2 28" xfId="346" xr:uid="{00000000-0005-0000-0000-000057010000}"/>
    <cellStyle name="20% - Ênfase2 28 2" xfId="347" xr:uid="{00000000-0005-0000-0000-000058010000}"/>
    <cellStyle name="20% - Ênfase2 29" xfId="348" xr:uid="{00000000-0005-0000-0000-000059010000}"/>
    <cellStyle name="20% - Ênfase2 3" xfId="349" xr:uid="{00000000-0005-0000-0000-00005A010000}"/>
    <cellStyle name="20% - Ênfase2 3 2" xfId="350" xr:uid="{00000000-0005-0000-0000-00005B010000}"/>
    <cellStyle name="20% - Ênfase2 3 2 2" xfId="351" xr:uid="{00000000-0005-0000-0000-00005C010000}"/>
    <cellStyle name="20% - Ênfase2 3 2_BD" xfId="352" xr:uid="{00000000-0005-0000-0000-00005D010000}"/>
    <cellStyle name="20% - Ênfase2 3 3" xfId="353" xr:uid="{00000000-0005-0000-0000-00005E010000}"/>
    <cellStyle name="20% - Ênfase2 3 3 2" xfId="354" xr:uid="{00000000-0005-0000-0000-00005F010000}"/>
    <cellStyle name="20% - Ênfase2 3 3_BD" xfId="355" xr:uid="{00000000-0005-0000-0000-000060010000}"/>
    <cellStyle name="20% - Ênfase2 3 4" xfId="356" xr:uid="{00000000-0005-0000-0000-000061010000}"/>
    <cellStyle name="20% - Ênfase2 30" xfId="357" xr:uid="{00000000-0005-0000-0000-000062010000}"/>
    <cellStyle name="20% - Ênfase2 31" xfId="358" xr:uid="{00000000-0005-0000-0000-000063010000}"/>
    <cellStyle name="20% - Ênfase2 32" xfId="359" xr:uid="{00000000-0005-0000-0000-000064010000}"/>
    <cellStyle name="20% - Ênfase2 33" xfId="360" xr:uid="{00000000-0005-0000-0000-000065010000}"/>
    <cellStyle name="20% - Ênfase2 34" xfId="361" xr:uid="{00000000-0005-0000-0000-000066010000}"/>
    <cellStyle name="20% - Ênfase2 35" xfId="362" xr:uid="{00000000-0005-0000-0000-000067010000}"/>
    <cellStyle name="20% - Ênfase2 36" xfId="363" xr:uid="{00000000-0005-0000-0000-000068010000}"/>
    <cellStyle name="20% - Ênfase2 36 2" xfId="364" xr:uid="{00000000-0005-0000-0000-000069010000}"/>
    <cellStyle name="20% - Ênfase2 36 3" xfId="365" xr:uid="{00000000-0005-0000-0000-00006A010000}"/>
    <cellStyle name="20% - Ênfase2 36 4" xfId="366" xr:uid="{00000000-0005-0000-0000-00006B010000}"/>
    <cellStyle name="20% - Ênfase2 37" xfId="367" xr:uid="{00000000-0005-0000-0000-00006C010000}"/>
    <cellStyle name="20% - Ênfase2 37 2" xfId="368" xr:uid="{00000000-0005-0000-0000-00006D010000}"/>
    <cellStyle name="20% - Ênfase2 37 3" xfId="369" xr:uid="{00000000-0005-0000-0000-00006E010000}"/>
    <cellStyle name="20% - Ênfase2 37 4" xfId="370" xr:uid="{00000000-0005-0000-0000-00006F010000}"/>
    <cellStyle name="20% - Ênfase2 38" xfId="371" xr:uid="{00000000-0005-0000-0000-000070010000}"/>
    <cellStyle name="20% - Ênfase2 38 2" xfId="372" xr:uid="{00000000-0005-0000-0000-000071010000}"/>
    <cellStyle name="20% - Ênfase2 38 3" xfId="373" xr:uid="{00000000-0005-0000-0000-000072010000}"/>
    <cellStyle name="20% - Ênfase2 38 4" xfId="374" xr:uid="{00000000-0005-0000-0000-000073010000}"/>
    <cellStyle name="20% - Ênfase2 39" xfId="375" xr:uid="{00000000-0005-0000-0000-000074010000}"/>
    <cellStyle name="20% - Ênfase2 39 2" xfId="376" xr:uid="{00000000-0005-0000-0000-000075010000}"/>
    <cellStyle name="20% - Ênfase2 39 3" xfId="377" xr:uid="{00000000-0005-0000-0000-000076010000}"/>
    <cellStyle name="20% - Ênfase2 39 4" xfId="378" xr:uid="{00000000-0005-0000-0000-000077010000}"/>
    <cellStyle name="20% - Ênfase2 4" xfId="379" xr:uid="{00000000-0005-0000-0000-000078010000}"/>
    <cellStyle name="20% - Ênfase2 4 2" xfId="380" xr:uid="{00000000-0005-0000-0000-000079010000}"/>
    <cellStyle name="20% - Ênfase2 4 2 2" xfId="381" xr:uid="{00000000-0005-0000-0000-00007A010000}"/>
    <cellStyle name="20% - Ênfase2 4 2_BD" xfId="382" xr:uid="{00000000-0005-0000-0000-00007B010000}"/>
    <cellStyle name="20% - Ênfase2 4 3" xfId="383" xr:uid="{00000000-0005-0000-0000-00007C010000}"/>
    <cellStyle name="20% - Ênfase2 4 3 2" xfId="384" xr:uid="{00000000-0005-0000-0000-00007D010000}"/>
    <cellStyle name="20% - Ênfase2 4 3_BD" xfId="385" xr:uid="{00000000-0005-0000-0000-00007E010000}"/>
    <cellStyle name="20% - Ênfase2 4 4" xfId="386" xr:uid="{00000000-0005-0000-0000-00007F010000}"/>
    <cellStyle name="20% - Ênfase2 40" xfId="387" xr:uid="{00000000-0005-0000-0000-000080010000}"/>
    <cellStyle name="20% - Ênfase2 40 2" xfId="388" xr:uid="{00000000-0005-0000-0000-000081010000}"/>
    <cellStyle name="20% - Ênfase2 41" xfId="389" xr:uid="{00000000-0005-0000-0000-000082010000}"/>
    <cellStyle name="20% - Ênfase2 42" xfId="390" xr:uid="{00000000-0005-0000-0000-000083010000}"/>
    <cellStyle name="20% - Ênfase2 43" xfId="391" xr:uid="{00000000-0005-0000-0000-000084010000}"/>
    <cellStyle name="20% - Ênfase2 44" xfId="392" xr:uid="{00000000-0005-0000-0000-000085010000}"/>
    <cellStyle name="20% - Ênfase2 45" xfId="393" xr:uid="{00000000-0005-0000-0000-000086010000}"/>
    <cellStyle name="20% - Ênfase2 46" xfId="394" xr:uid="{00000000-0005-0000-0000-000087010000}"/>
    <cellStyle name="20% - Ênfase2 47" xfId="395" xr:uid="{00000000-0005-0000-0000-000088010000}"/>
    <cellStyle name="20% - Ênfase2 48" xfId="396" xr:uid="{00000000-0005-0000-0000-000089010000}"/>
    <cellStyle name="20% - Ênfase2 49" xfId="397" xr:uid="{00000000-0005-0000-0000-00008A010000}"/>
    <cellStyle name="20% - Ênfase2 5" xfId="398" xr:uid="{00000000-0005-0000-0000-00008B010000}"/>
    <cellStyle name="20% - Ênfase2 5 2" xfId="399" xr:uid="{00000000-0005-0000-0000-00008C010000}"/>
    <cellStyle name="20% - Ênfase2 5 2 2" xfId="400" xr:uid="{00000000-0005-0000-0000-00008D010000}"/>
    <cellStyle name="20% - Ênfase2 5 2_BD" xfId="401" xr:uid="{00000000-0005-0000-0000-00008E010000}"/>
    <cellStyle name="20% - Ênfase2 5 3" xfId="402" xr:uid="{00000000-0005-0000-0000-00008F010000}"/>
    <cellStyle name="20% - Ênfase2 5 3 2" xfId="403" xr:uid="{00000000-0005-0000-0000-000090010000}"/>
    <cellStyle name="20% - Ênfase2 5 4" xfId="404" xr:uid="{00000000-0005-0000-0000-000091010000}"/>
    <cellStyle name="20% - Ênfase2 50" xfId="405" xr:uid="{00000000-0005-0000-0000-000092010000}"/>
    <cellStyle name="20% - Ênfase2 51" xfId="406" xr:uid="{00000000-0005-0000-0000-000093010000}"/>
    <cellStyle name="20% - Ênfase2 52" xfId="407" xr:uid="{00000000-0005-0000-0000-000094010000}"/>
    <cellStyle name="20% - Ênfase2 53" xfId="408" xr:uid="{00000000-0005-0000-0000-000095010000}"/>
    <cellStyle name="20% - Ênfase2 54" xfId="409" xr:uid="{00000000-0005-0000-0000-000096010000}"/>
    <cellStyle name="20% - Ênfase2 55" xfId="410" xr:uid="{00000000-0005-0000-0000-000097010000}"/>
    <cellStyle name="20% - Ênfase2 56" xfId="411" xr:uid="{00000000-0005-0000-0000-000098010000}"/>
    <cellStyle name="20% - Ênfase2 57" xfId="412" xr:uid="{00000000-0005-0000-0000-000099010000}"/>
    <cellStyle name="20% - Ênfase2 58" xfId="413" xr:uid="{00000000-0005-0000-0000-00009A010000}"/>
    <cellStyle name="20% - Ênfase2 59" xfId="414" xr:uid="{00000000-0005-0000-0000-00009B010000}"/>
    <cellStyle name="20% - Ênfase2 6" xfId="415" xr:uid="{00000000-0005-0000-0000-00009C010000}"/>
    <cellStyle name="20% - Ênfase2 6 2" xfId="416" xr:uid="{00000000-0005-0000-0000-00009D010000}"/>
    <cellStyle name="20% - Ênfase2 6 2 2" xfId="417" xr:uid="{00000000-0005-0000-0000-00009E010000}"/>
    <cellStyle name="20% - Ênfase2 6 2_BD" xfId="418" xr:uid="{00000000-0005-0000-0000-00009F010000}"/>
    <cellStyle name="20% - Ênfase2 6 3" xfId="419" xr:uid="{00000000-0005-0000-0000-0000A0010000}"/>
    <cellStyle name="20% - Ênfase2 6 3 2" xfId="420" xr:uid="{00000000-0005-0000-0000-0000A1010000}"/>
    <cellStyle name="20% - Ênfase2 6 4" xfId="421" xr:uid="{00000000-0005-0000-0000-0000A2010000}"/>
    <cellStyle name="20% - Ênfase2 60" xfId="422" xr:uid="{00000000-0005-0000-0000-0000A3010000}"/>
    <cellStyle name="20% - Ênfase2 61" xfId="423" xr:uid="{00000000-0005-0000-0000-0000A4010000}"/>
    <cellStyle name="20% - Ênfase2 62" xfId="424" xr:uid="{00000000-0005-0000-0000-0000A5010000}"/>
    <cellStyle name="20% - Ênfase2 63" xfId="425" xr:uid="{00000000-0005-0000-0000-0000A6010000}"/>
    <cellStyle name="20% - Ênfase2 64" xfId="426" xr:uid="{00000000-0005-0000-0000-0000A7010000}"/>
    <cellStyle name="20% - Ênfase2 65" xfId="427" xr:uid="{00000000-0005-0000-0000-0000A8010000}"/>
    <cellStyle name="20% - Ênfase2 66" xfId="428" xr:uid="{00000000-0005-0000-0000-0000A9010000}"/>
    <cellStyle name="20% - Ênfase2 67" xfId="429" xr:uid="{00000000-0005-0000-0000-0000AA010000}"/>
    <cellStyle name="20% - Ênfase2 68" xfId="430" xr:uid="{00000000-0005-0000-0000-0000AB010000}"/>
    <cellStyle name="20% - Ênfase2 69" xfId="431" xr:uid="{00000000-0005-0000-0000-0000AC010000}"/>
    <cellStyle name="20% - Ênfase2 7" xfId="432" xr:uid="{00000000-0005-0000-0000-0000AD010000}"/>
    <cellStyle name="20% - Ênfase2 7 2" xfId="433" xr:uid="{00000000-0005-0000-0000-0000AE010000}"/>
    <cellStyle name="20% - Ênfase2 7 2 2" xfId="434" xr:uid="{00000000-0005-0000-0000-0000AF010000}"/>
    <cellStyle name="20% - Ênfase2 7 2_BD" xfId="435" xr:uid="{00000000-0005-0000-0000-0000B0010000}"/>
    <cellStyle name="20% - Ênfase2 7 3" xfId="436" xr:uid="{00000000-0005-0000-0000-0000B1010000}"/>
    <cellStyle name="20% - Ênfase2 7 3 2" xfId="437" xr:uid="{00000000-0005-0000-0000-0000B2010000}"/>
    <cellStyle name="20% - Ênfase2 7 4" xfId="438" xr:uid="{00000000-0005-0000-0000-0000B3010000}"/>
    <cellStyle name="20% - Ênfase2 70" xfId="439" xr:uid="{00000000-0005-0000-0000-0000B4010000}"/>
    <cellStyle name="20% - Ênfase2 71" xfId="440" xr:uid="{00000000-0005-0000-0000-0000B5010000}"/>
    <cellStyle name="20% - Ênfase2 72" xfId="441" xr:uid="{00000000-0005-0000-0000-0000B6010000}"/>
    <cellStyle name="20% - Ênfase2 73" xfId="442" xr:uid="{00000000-0005-0000-0000-0000B7010000}"/>
    <cellStyle name="20% - Ênfase2 74" xfId="443" xr:uid="{00000000-0005-0000-0000-0000B8010000}"/>
    <cellStyle name="20% - Ênfase2 75" xfId="444" xr:uid="{00000000-0005-0000-0000-0000B9010000}"/>
    <cellStyle name="20% - Ênfase2 76" xfId="445" xr:uid="{00000000-0005-0000-0000-0000BA010000}"/>
    <cellStyle name="20% - Ênfase2 77" xfId="446" xr:uid="{00000000-0005-0000-0000-0000BB010000}"/>
    <cellStyle name="20% - Ênfase2 78" xfId="447" xr:uid="{00000000-0005-0000-0000-0000BC010000}"/>
    <cellStyle name="20% - Ênfase2 79" xfId="448" xr:uid="{00000000-0005-0000-0000-0000BD010000}"/>
    <cellStyle name="20% - Ênfase2 8" xfId="449" xr:uid="{00000000-0005-0000-0000-0000BE010000}"/>
    <cellStyle name="20% - Ênfase2 8 2" xfId="450" xr:uid="{00000000-0005-0000-0000-0000BF010000}"/>
    <cellStyle name="20% - Ênfase2 8 2 2" xfId="451" xr:uid="{00000000-0005-0000-0000-0000C0010000}"/>
    <cellStyle name="20% - Ênfase2 8 3" xfId="452" xr:uid="{00000000-0005-0000-0000-0000C1010000}"/>
    <cellStyle name="20% - Ênfase2 8 3 2" xfId="453" xr:uid="{00000000-0005-0000-0000-0000C2010000}"/>
    <cellStyle name="20% - Ênfase2 8 4" xfId="454" xr:uid="{00000000-0005-0000-0000-0000C3010000}"/>
    <cellStyle name="20% - Ênfase2 80" xfId="455" xr:uid="{00000000-0005-0000-0000-0000C4010000}"/>
    <cellStyle name="20% - Ênfase2 81" xfId="456" xr:uid="{00000000-0005-0000-0000-0000C5010000}"/>
    <cellStyle name="20% - Ênfase2 82" xfId="457" xr:uid="{00000000-0005-0000-0000-0000C6010000}"/>
    <cellStyle name="20% - Ênfase2 83" xfId="458" xr:uid="{00000000-0005-0000-0000-0000C7010000}"/>
    <cellStyle name="20% - Ênfase2 84" xfId="459" xr:uid="{00000000-0005-0000-0000-0000C8010000}"/>
    <cellStyle name="20% - Ênfase2 85" xfId="460" xr:uid="{00000000-0005-0000-0000-0000C9010000}"/>
    <cellStyle name="20% - Ênfase2 86" xfId="461" xr:uid="{00000000-0005-0000-0000-0000CA010000}"/>
    <cellStyle name="20% - Ênfase2 87" xfId="462" xr:uid="{00000000-0005-0000-0000-0000CB010000}"/>
    <cellStyle name="20% - Ênfase2 88" xfId="463" xr:uid="{00000000-0005-0000-0000-0000CC010000}"/>
    <cellStyle name="20% - Ênfase2 89" xfId="464" xr:uid="{00000000-0005-0000-0000-0000CD010000}"/>
    <cellStyle name="20% - Ênfase2 9" xfId="465" xr:uid="{00000000-0005-0000-0000-0000CE010000}"/>
    <cellStyle name="20% - Ênfase2 9 2" xfId="466" xr:uid="{00000000-0005-0000-0000-0000CF010000}"/>
    <cellStyle name="20% - Ênfase2 9 2 2" xfId="467" xr:uid="{00000000-0005-0000-0000-0000D0010000}"/>
    <cellStyle name="20% - Ênfase2 9 3" xfId="468" xr:uid="{00000000-0005-0000-0000-0000D1010000}"/>
    <cellStyle name="20% - Ênfase2 9 3 2" xfId="469" xr:uid="{00000000-0005-0000-0000-0000D2010000}"/>
    <cellStyle name="20% - Ênfase2 9 4" xfId="470" xr:uid="{00000000-0005-0000-0000-0000D3010000}"/>
    <cellStyle name="20% - Ênfase2 90" xfId="471" xr:uid="{00000000-0005-0000-0000-0000D4010000}"/>
    <cellStyle name="20% - Ênfase2 91" xfId="472" xr:uid="{00000000-0005-0000-0000-0000D5010000}"/>
    <cellStyle name="20% - Ênfase2 92" xfId="473" xr:uid="{00000000-0005-0000-0000-0000D6010000}"/>
    <cellStyle name="20% - Ênfase2 93" xfId="474" xr:uid="{00000000-0005-0000-0000-0000D7010000}"/>
    <cellStyle name="20% - Ênfase2 94" xfId="475" xr:uid="{00000000-0005-0000-0000-0000D8010000}"/>
    <cellStyle name="20% - Ênfase2 95" xfId="476" xr:uid="{00000000-0005-0000-0000-0000D9010000}"/>
    <cellStyle name="20% - Ênfase2 96" xfId="477" xr:uid="{00000000-0005-0000-0000-0000DA010000}"/>
    <cellStyle name="20% - Ênfase2 97" xfId="478" xr:uid="{00000000-0005-0000-0000-0000DB010000}"/>
    <cellStyle name="20% - Ênfase2 98" xfId="479" xr:uid="{00000000-0005-0000-0000-0000DC010000}"/>
    <cellStyle name="20% - Ênfase2 99" xfId="480" xr:uid="{00000000-0005-0000-0000-0000DD010000}"/>
    <cellStyle name="20% - Ênfase3 10" xfId="481" xr:uid="{00000000-0005-0000-0000-0000DE010000}"/>
    <cellStyle name="20% - Ênfase3 10 2" xfId="482" xr:uid="{00000000-0005-0000-0000-0000DF010000}"/>
    <cellStyle name="20% - Ênfase3 10 2 2" xfId="483" xr:uid="{00000000-0005-0000-0000-0000E0010000}"/>
    <cellStyle name="20% - Ênfase3 10 3" xfId="484" xr:uid="{00000000-0005-0000-0000-0000E1010000}"/>
    <cellStyle name="20% - Ênfase3 10 3 2" xfId="485" xr:uid="{00000000-0005-0000-0000-0000E2010000}"/>
    <cellStyle name="20% - Ênfase3 10 4" xfId="486" xr:uid="{00000000-0005-0000-0000-0000E3010000}"/>
    <cellStyle name="20% - Ênfase3 100" xfId="487" xr:uid="{00000000-0005-0000-0000-0000E4010000}"/>
    <cellStyle name="20% - Ênfase3 101" xfId="488" xr:uid="{00000000-0005-0000-0000-0000E5010000}"/>
    <cellStyle name="20% - Ênfase3 102" xfId="489" xr:uid="{00000000-0005-0000-0000-0000E6010000}"/>
    <cellStyle name="20% - Ênfase3 103" xfId="490" xr:uid="{00000000-0005-0000-0000-0000E7010000}"/>
    <cellStyle name="20% - Ênfase3 104" xfId="491" xr:uid="{00000000-0005-0000-0000-0000E8010000}"/>
    <cellStyle name="20% - Ênfase3 105" xfId="492" xr:uid="{00000000-0005-0000-0000-0000E9010000}"/>
    <cellStyle name="20% - Ênfase3 106" xfId="493" xr:uid="{00000000-0005-0000-0000-0000EA010000}"/>
    <cellStyle name="20% - Ênfase3 107" xfId="494" xr:uid="{00000000-0005-0000-0000-0000EB010000}"/>
    <cellStyle name="20% - Ênfase3 108" xfId="495" xr:uid="{00000000-0005-0000-0000-0000EC010000}"/>
    <cellStyle name="20% - Ênfase3 109" xfId="496" xr:uid="{00000000-0005-0000-0000-0000ED010000}"/>
    <cellStyle name="20% - Ênfase3 11" xfId="497" xr:uid="{00000000-0005-0000-0000-0000EE010000}"/>
    <cellStyle name="20% - Ênfase3 11 2" xfId="498" xr:uid="{00000000-0005-0000-0000-0000EF010000}"/>
    <cellStyle name="20% - Ênfase3 11 2 2" xfId="499" xr:uid="{00000000-0005-0000-0000-0000F0010000}"/>
    <cellStyle name="20% - Ênfase3 11 3" xfId="500" xr:uid="{00000000-0005-0000-0000-0000F1010000}"/>
    <cellStyle name="20% - Ênfase3 11 3 2" xfId="501" xr:uid="{00000000-0005-0000-0000-0000F2010000}"/>
    <cellStyle name="20% - Ênfase3 11 4" xfId="502" xr:uid="{00000000-0005-0000-0000-0000F3010000}"/>
    <cellStyle name="20% - Ênfase3 110" xfId="503" xr:uid="{00000000-0005-0000-0000-0000F4010000}"/>
    <cellStyle name="20% - Ênfase3 111" xfId="504" xr:uid="{00000000-0005-0000-0000-0000F5010000}"/>
    <cellStyle name="20% - Ênfase3 112" xfId="505" xr:uid="{00000000-0005-0000-0000-0000F6010000}"/>
    <cellStyle name="20% - Ênfase3 113" xfId="506" xr:uid="{00000000-0005-0000-0000-0000F7010000}"/>
    <cellStyle name="20% - Ênfase3 114" xfId="507" xr:uid="{00000000-0005-0000-0000-0000F8010000}"/>
    <cellStyle name="20% - Ênfase3 115" xfId="508" xr:uid="{00000000-0005-0000-0000-0000F9010000}"/>
    <cellStyle name="20% - Ênfase3 116" xfId="509" xr:uid="{00000000-0005-0000-0000-0000FA010000}"/>
    <cellStyle name="20% - Ênfase3 117" xfId="510" xr:uid="{00000000-0005-0000-0000-0000FB010000}"/>
    <cellStyle name="20% - Ênfase3 118" xfId="511" xr:uid="{00000000-0005-0000-0000-0000FC010000}"/>
    <cellStyle name="20% - Ênfase3 119" xfId="512" xr:uid="{00000000-0005-0000-0000-0000FD010000}"/>
    <cellStyle name="20% - Ênfase3 12" xfId="513" xr:uid="{00000000-0005-0000-0000-0000FE010000}"/>
    <cellStyle name="20% - Ênfase3 12 2" xfId="514" xr:uid="{00000000-0005-0000-0000-0000FF010000}"/>
    <cellStyle name="20% - Ênfase3 12 2 2" xfId="515" xr:uid="{00000000-0005-0000-0000-000000020000}"/>
    <cellStyle name="20% - Ênfase3 12 3" xfId="516" xr:uid="{00000000-0005-0000-0000-000001020000}"/>
    <cellStyle name="20% - Ênfase3 12 3 2" xfId="517" xr:uid="{00000000-0005-0000-0000-000002020000}"/>
    <cellStyle name="20% - Ênfase3 12 4" xfId="518" xr:uid="{00000000-0005-0000-0000-000003020000}"/>
    <cellStyle name="20% - Ênfase3 120" xfId="519" xr:uid="{00000000-0005-0000-0000-000004020000}"/>
    <cellStyle name="20% - Ênfase3 13" xfId="520" xr:uid="{00000000-0005-0000-0000-000005020000}"/>
    <cellStyle name="20% - Ênfase3 13 2" xfId="521" xr:uid="{00000000-0005-0000-0000-000006020000}"/>
    <cellStyle name="20% - Ênfase3 13 2 2" xfId="522" xr:uid="{00000000-0005-0000-0000-000007020000}"/>
    <cellStyle name="20% - Ênfase3 13 3" xfId="523" xr:uid="{00000000-0005-0000-0000-000008020000}"/>
    <cellStyle name="20% - Ênfase3 13 3 2" xfId="524" xr:uid="{00000000-0005-0000-0000-000009020000}"/>
    <cellStyle name="20% - Ênfase3 13 4" xfId="525" xr:uid="{00000000-0005-0000-0000-00000A020000}"/>
    <cellStyle name="20% - Ênfase3 14" xfId="526" xr:uid="{00000000-0005-0000-0000-00000B020000}"/>
    <cellStyle name="20% - Ênfase3 14 2" xfId="527" xr:uid="{00000000-0005-0000-0000-00000C020000}"/>
    <cellStyle name="20% - Ênfase3 14 2 2" xfId="528" xr:uid="{00000000-0005-0000-0000-00000D020000}"/>
    <cellStyle name="20% - Ênfase3 14 3" xfId="529" xr:uid="{00000000-0005-0000-0000-00000E020000}"/>
    <cellStyle name="20% - Ênfase3 14 3 2" xfId="530" xr:uid="{00000000-0005-0000-0000-00000F020000}"/>
    <cellStyle name="20% - Ênfase3 14 4" xfId="531" xr:uid="{00000000-0005-0000-0000-000010020000}"/>
    <cellStyle name="20% - Ênfase3 15" xfId="532" xr:uid="{00000000-0005-0000-0000-000011020000}"/>
    <cellStyle name="20% - Ênfase3 15 2" xfId="533" xr:uid="{00000000-0005-0000-0000-000012020000}"/>
    <cellStyle name="20% - Ênfase3 16" xfId="534" xr:uid="{00000000-0005-0000-0000-000013020000}"/>
    <cellStyle name="20% - Ênfase3 16 2" xfId="535" xr:uid="{00000000-0005-0000-0000-000014020000}"/>
    <cellStyle name="20% - Ênfase3 17" xfId="536" xr:uid="{00000000-0005-0000-0000-000015020000}"/>
    <cellStyle name="20% - Ênfase3 17 2" xfId="537" xr:uid="{00000000-0005-0000-0000-000016020000}"/>
    <cellStyle name="20% - Ênfase3 18" xfId="538" xr:uid="{00000000-0005-0000-0000-000017020000}"/>
    <cellStyle name="20% - Ênfase3 18 2" xfId="539" xr:uid="{00000000-0005-0000-0000-000018020000}"/>
    <cellStyle name="20% - Ênfase3 19" xfId="540" xr:uid="{00000000-0005-0000-0000-000019020000}"/>
    <cellStyle name="20% - Ênfase3 19 2" xfId="541" xr:uid="{00000000-0005-0000-0000-00001A020000}"/>
    <cellStyle name="20% - Ênfase3 2" xfId="542" xr:uid="{00000000-0005-0000-0000-00001B020000}"/>
    <cellStyle name="20% - Ênfase3 2 2" xfId="543" xr:uid="{00000000-0005-0000-0000-00001C020000}"/>
    <cellStyle name="20% - Ênfase3 2 2 2" xfId="544" xr:uid="{00000000-0005-0000-0000-00001D020000}"/>
    <cellStyle name="20% - Ênfase3 2 2 2 2" xfId="545" xr:uid="{00000000-0005-0000-0000-00001E020000}"/>
    <cellStyle name="20% - Ênfase3 2 2 2 2 2" xfId="546" xr:uid="{00000000-0005-0000-0000-00001F020000}"/>
    <cellStyle name="20% - Ênfase3 2 2 2 2 2 2" xfId="547" xr:uid="{00000000-0005-0000-0000-000020020000}"/>
    <cellStyle name="20% - Ênfase3 2 2 2 2 2 2 2" xfId="548" xr:uid="{00000000-0005-0000-0000-000021020000}"/>
    <cellStyle name="20% - Ênfase3 2 2 2 2 2 3" xfId="549" xr:uid="{00000000-0005-0000-0000-000022020000}"/>
    <cellStyle name="20% - Ênfase3 2 2 2 2 3" xfId="550" xr:uid="{00000000-0005-0000-0000-000023020000}"/>
    <cellStyle name="20% - Ênfase3 2 2 2 2 3 2" xfId="551" xr:uid="{00000000-0005-0000-0000-000024020000}"/>
    <cellStyle name="20% - Ênfase3 2 2 2 3" xfId="552" xr:uid="{00000000-0005-0000-0000-000025020000}"/>
    <cellStyle name="20% - Ênfase3 2 2 2 3 2" xfId="553" xr:uid="{00000000-0005-0000-0000-000026020000}"/>
    <cellStyle name="20% - Ênfase3 2 2 2_BD" xfId="554" xr:uid="{00000000-0005-0000-0000-000027020000}"/>
    <cellStyle name="20% - Ênfase3 2 2 3" xfId="555" xr:uid="{00000000-0005-0000-0000-000028020000}"/>
    <cellStyle name="20% - Ênfase3 2 2 3 2" xfId="556" xr:uid="{00000000-0005-0000-0000-000029020000}"/>
    <cellStyle name="20% - Ênfase3 2 2 4" xfId="557" xr:uid="{00000000-0005-0000-0000-00002A020000}"/>
    <cellStyle name="20% - Ênfase3 2 2 5" xfId="558" xr:uid="{00000000-0005-0000-0000-00002B020000}"/>
    <cellStyle name="20% - Ênfase3 2 2 5 2" xfId="559" xr:uid="{00000000-0005-0000-0000-00002C020000}"/>
    <cellStyle name="20% - Ênfase3 2 2_BD" xfId="560" xr:uid="{00000000-0005-0000-0000-00002D020000}"/>
    <cellStyle name="20% - Ênfase3 2 3" xfId="561" xr:uid="{00000000-0005-0000-0000-00002E020000}"/>
    <cellStyle name="20% - Ênfase3 2 3 2" xfId="562" xr:uid="{00000000-0005-0000-0000-00002F020000}"/>
    <cellStyle name="20% - Ênfase3 2 3_BD" xfId="563" xr:uid="{00000000-0005-0000-0000-000030020000}"/>
    <cellStyle name="20% - Ênfase3 2 4" xfId="564" xr:uid="{00000000-0005-0000-0000-000031020000}"/>
    <cellStyle name="20% - Ênfase3 2 5" xfId="565" xr:uid="{00000000-0005-0000-0000-000032020000}"/>
    <cellStyle name="20% - Ênfase3 2 6" xfId="566" xr:uid="{00000000-0005-0000-0000-000033020000}"/>
    <cellStyle name="20% - Ênfase3 2 6 2" xfId="567" xr:uid="{00000000-0005-0000-0000-000034020000}"/>
    <cellStyle name="20% - Ênfase3 2_BD" xfId="568" xr:uid="{00000000-0005-0000-0000-000035020000}"/>
    <cellStyle name="20% - Ênfase3 20" xfId="569" xr:uid="{00000000-0005-0000-0000-000036020000}"/>
    <cellStyle name="20% - Ênfase3 20 2" xfId="570" xr:uid="{00000000-0005-0000-0000-000037020000}"/>
    <cellStyle name="20% - Ênfase3 21" xfId="571" xr:uid="{00000000-0005-0000-0000-000038020000}"/>
    <cellStyle name="20% - Ênfase3 21 2" xfId="572" xr:uid="{00000000-0005-0000-0000-000039020000}"/>
    <cellStyle name="20% - Ênfase3 22" xfId="573" xr:uid="{00000000-0005-0000-0000-00003A020000}"/>
    <cellStyle name="20% - Ênfase3 22 2" xfId="574" xr:uid="{00000000-0005-0000-0000-00003B020000}"/>
    <cellStyle name="20% - Ênfase3 23" xfId="575" xr:uid="{00000000-0005-0000-0000-00003C020000}"/>
    <cellStyle name="20% - Ênfase3 23 2" xfId="576" xr:uid="{00000000-0005-0000-0000-00003D020000}"/>
    <cellStyle name="20% - Ênfase3 24" xfId="577" xr:uid="{00000000-0005-0000-0000-00003E020000}"/>
    <cellStyle name="20% - Ênfase3 24 2" xfId="578" xr:uid="{00000000-0005-0000-0000-00003F020000}"/>
    <cellStyle name="20% - Ênfase3 25" xfId="579" xr:uid="{00000000-0005-0000-0000-000040020000}"/>
    <cellStyle name="20% - Ênfase3 25 2" xfId="580" xr:uid="{00000000-0005-0000-0000-000041020000}"/>
    <cellStyle name="20% - Ênfase3 26" xfId="581" xr:uid="{00000000-0005-0000-0000-000042020000}"/>
    <cellStyle name="20% - Ênfase3 26 2" xfId="582" xr:uid="{00000000-0005-0000-0000-000043020000}"/>
    <cellStyle name="20% - Ênfase3 27" xfId="583" xr:uid="{00000000-0005-0000-0000-000044020000}"/>
    <cellStyle name="20% - Ênfase3 27 2" xfId="584" xr:uid="{00000000-0005-0000-0000-000045020000}"/>
    <cellStyle name="20% - Ênfase3 28" xfId="585" xr:uid="{00000000-0005-0000-0000-000046020000}"/>
    <cellStyle name="20% - Ênfase3 28 2" xfId="586" xr:uid="{00000000-0005-0000-0000-000047020000}"/>
    <cellStyle name="20% - Ênfase3 29" xfId="587" xr:uid="{00000000-0005-0000-0000-000048020000}"/>
    <cellStyle name="20% - Ênfase3 3" xfId="588" xr:uid="{00000000-0005-0000-0000-000049020000}"/>
    <cellStyle name="20% - Ênfase3 3 2" xfId="589" xr:uid="{00000000-0005-0000-0000-00004A020000}"/>
    <cellStyle name="20% - Ênfase3 3 2 2" xfId="590" xr:uid="{00000000-0005-0000-0000-00004B020000}"/>
    <cellStyle name="20% - Ênfase3 3 2_BD" xfId="591" xr:uid="{00000000-0005-0000-0000-00004C020000}"/>
    <cellStyle name="20% - Ênfase3 3 3" xfId="592" xr:uid="{00000000-0005-0000-0000-00004D020000}"/>
    <cellStyle name="20% - Ênfase3 3 3 2" xfId="593" xr:uid="{00000000-0005-0000-0000-00004E020000}"/>
    <cellStyle name="20% - Ênfase3 3 3_BD" xfId="594" xr:uid="{00000000-0005-0000-0000-00004F020000}"/>
    <cellStyle name="20% - Ênfase3 3 4" xfId="595" xr:uid="{00000000-0005-0000-0000-000050020000}"/>
    <cellStyle name="20% - Ênfase3 30" xfId="596" xr:uid="{00000000-0005-0000-0000-000051020000}"/>
    <cellStyle name="20% - Ênfase3 31" xfId="597" xr:uid="{00000000-0005-0000-0000-000052020000}"/>
    <cellStyle name="20% - Ênfase3 32" xfId="598" xr:uid="{00000000-0005-0000-0000-000053020000}"/>
    <cellStyle name="20% - Ênfase3 33" xfId="599" xr:uid="{00000000-0005-0000-0000-000054020000}"/>
    <cellStyle name="20% - Ênfase3 34" xfId="600" xr:uid="{00000000-0005-0000-0000-000055020000}"/>
    <cellStyle name="20% - Ênfase3 35" xfId="601" xr:uid="{00000000-0005-0000-0000-000056020000}"/>
    <cellStyle name="20% - Ênfase3 36" xfId="602" xr:uid="{00000000-0005-0000-0000-000057020000}"/>
    <cellStyle name="20% - Ênfase3 36 2" xfId="603" xr:uid="{00000000-0005-0000-0000-000058020000}"/>
    <cellStyle name="20% - Ênfase3 36 3" xfId="604" xr:uid="{00000000-0005-0000-0000-000059020000}"/>
    <cellStyle name="20% - Ênfase3 36 4" xfId="605" xr:uid="{00000000-0005-0000-0000-00005A020000}"/>
    <cellStyle name="20% - Ênfase3 37" xfId="606" xr:uid="{00000000-0005-0000-0000-00005B020000}"/>
    <cellStyle name="20% - Ênfase3 37 2" xfId="607" xr:uid="{00000000-0005-0000-0000-00005C020000}"/>
    <cellStyle name="20% - Ênfase3 37 3" xfId="608" xr:uid="{00000000-0005-0000-0000-00005D020000}"/>
    <cellStyle name="20% - Ênfase3 37 4" xfId="609" xr:uid="{00000000-0005-0000-0000-00005E020000}"/>
    <cellStyle name="20% - Ênfase3 38" xfId="610" xr:uid="{00000000-0005-0000-0000-00005F020000}"/>
    <cellStyle name="20% - Ênfase3 38 2" xfId="611" xr:uid="{00000000-0005-0000-0000-000060020000}"/>
    <cellStyle name="20% - Ênfase3 38 3" xfId="612" xr:uid="{00000000-0005-0000-0000-000061020000}"/>
    <cellStyle name="20% - Ênfase3 38 4" xfId="613" xr:uid="{00000000-0005-0000-0000-000062020000}"/>
    <cellStyle name="20% - Ênfase3 39" xfId="614" xr:uid="{00000000-0005-0000-0000-000063020000}"/>
    <cellStyle name="20% - Ênfase3 39 2" xfId="615" xr:uid="{00000000-0005-0000-0000-000064020000}"/>
    <cellStyle name="20% - Ênfase3 39 3" xfId="616" xr:uid="{00000000-0005-0000-0000-000065020000}"/>
    <cellStyle name="20% - Ênfase3 39 4" xfId="617" xr:uid="{00000000-0005-0000-0000-000066020000}"/>
    <cellStyle name="20% - Ênfase3 4" xfId="618" xr:uid="{00000000-0005-0000-0000-000067020000}"/>
    <cellStyle name="20% - Ênfase3 4 2" xfId="619" xr:uid="{00000000-0005-0000-0000-000068020000}"/>
    <cellStyle name="20% - Ênfase3 4 2 2" xfId="620" xr:uid="{00000000-0005-0000-0000-000069020000}"/>
    <cellStyle name="20% - Ênfase3 4 2_BD" xfId="621" xr:uid="{00000000-0005-0000-0000-00006A020000}"/>
    <cellStyle name="20% - Ênfase3 4 3" xfId="622" xr:uid="{00000000-0005-0000-0000-00006B020000}"/>
    <cellStyle name="20% - Ênfase3 4 3 2" xfId="623" xr:uid="{00000000-0005-0000-0000-00006C020000}"/>
    <cellStyle name="20% - Ênfase3 4 3_BD" xfId="624" xr:uid="{00000000-0005-0000-0000-00006D020000}"/>
    <cellStyle name="20% - Ênfase3 4 4" xfId="625" xr:uid="{00000000-0005-0000-0000-00006E020000}"/>
    <cellStyle name="20% - Ênfase3 40" xfId="626" xr:uid="{00000000-0005-0000-0000-00006F020000}"/>
    <cellStyle name="20% - Ênfase3 40 2" xfId="627" xr:uid="{00000000-0005-0000-0000-000070020000}"/>
    <cellStyle name="20% - Ênfase3 41" xfId="628" xr:uid="{00000000-0005-0000-0000-000071020000}"/>
    <cellStyle name="20% - Ênfase3 42" xfId="629" xr:uid="{00000000-0005-0000-0000-000072020000}"/>
    <cellStyle name="20% - Ênfase3 43" xfId="630" xr:uid="{00000000-0005-0000-0000-000073020000}"/>
    <cellStyle name="20% - Ênfase3 44" xfId="631" xr:uid="{00000000-0005-0000-0000-000074020000}"/>
    <cellStyle name="20% - Ênfase3 45" xfId="632" xr:uid="{00000000-0005-0000-0000-000075020000}"/>
    <cellStyle name="20% - Ênfase3 46" xfId="633" xr:uid="{00000000-0005-0000-0000-000076020000}"/>
    <cellStyle name="20% - Ênfase3 47" xfId="634" xr:uid="{00000000-0005-0000-0000-000077020000}"/>
    <cellStyle name="20% - Ênfase3 48" xfId="635" xr:uid="{00000000-0005-0000-0000-000078020000}"/>
    <cellStyle name="20% - Ênfase3 49" xfId="636" xr:uid="{00000000-0005-0000-0000-000079020000}"/>
    <cellStyle name="20% - Ênfase3 5" xfId="637" xr:uid="{00000000-0005-0000-0000-00007A020000}"/>
    <cellStyle name="20% - Ênfase3 5 2" xfId="638" xr:uid="{00000000-0005-0000-0000-00007B020000}"/>
    <cellStyle name="20% - Ênfase3 5 2 2" xfId="639" xr:uid="{00000000-0005-0000-0000-00007C020000}"/>
    <cellStyle name="20% - Ênfase3 5 2_BD" xfId="640" xr:uid="{00000000-0005-0000-0000-00007D020000}"/>
    <cellStyle name="20% - Ênfase3 5 3" xfId="641" xr:uid="{00000000-0005-0000-0000-00007E020000}"/>
    <cellStyle name="20% - Ênfase3 5 3 2" xfId="642" xr:uid="{00000000-0005-0000-0000-00007F020000}"/>
    <cellStyle name="20% - Ênfase3 5 4" xfId="643" xr:uid="{00000000-0005-0000-0000-000080020000}"/>
    <cellStyle name="20% - Ênfase3 50" xfId="644" xr:uid="{00000000-0005-0000-0000-000081020000}"/>
    <cellStyle name="20% - Ênfase3 51" xfId="645" xr:uid="{00000000-0005-0000-0000-000082020000}"/>
    <cellStyle name="20% - Ênfase3 52" xfId="646" xr:uid="{00000000-0005-0000-0000-000083020000}"/>
    <cellStyle name="20% - Ênfase3 53" xfId="647" xr:uid="{00000000-0005-0000-0000-000084020000}"/>
    <cellStyle name="20% - Ênfase3 54" xfId="648" xr:uid="{00000000-0005-0000-0000-000085020000}"/>
    <cellStyle name="20% - Ênfase3 55" xfId="649" xr:uid="{00000000-0005-0000-0000-000086020000}"/>
    <cellStyle name="20% - Ênfase3 56" xfId="650" xr:uid="{00000000-0005-0000-0000-000087020000}"/>
    <cellStyle name="20% - Ênfase3 57" xfId="651" xr:uid="{00000000-0005-0000-0000-000088020000}"/>
    <cellStyle name="20% - Ênfase3 58" xfId="652" xr:uid="{00000000-0005-0000-0000-000089020000}"/>
    <cellStyle name="20% - Ênfase3 59" xfId="653" xr:uid="{00000000-0005-0000-0000-00008A020000}"/>
    <cellStyle name="20% - Ênfase3 6" xfId="654" xr:uid="{00000000-0005-0000-0000-00008B020000}"/>
    <cellStyle name="20% - Ênfase3 6 2" xfId="655" xr:uid="{00000000-0005-0000-0000-00008C020000}"/>
    <cellStyle name="20% - Ênfase3 6 2 2" xfId="656" xr:uid="{00000000-0005-0000-0000-00008D020000}"/>
    <cellStyle name="20% - Ênfase3 6 2_BD" xfId="657" xr:uid="{00000000-0005-0000-0000-00008E020000}"/>
    <cellStyle name="20% - Ênfase3 6 3" xfId="658" xr:uid="{00000000-0005-0000-0000-00008F020000}"/>
    <cellStyle name="20% - Ênfase3 6 3 2" xfId="659" xr:uid="{00000000-0005-0000-0000-000090020000}"/>
    <cellStyle name="20% - Ênfase3 6 4" xfId="660" xr:uid="{00000000-0005-0000-0000-000091020000}"/>
    <cellStyle name="20% - Ênfase3 60" xfId="661" xr:uid="{00000000-0005-0000-0000-000092020000}"/>
    <cellStyle name="20% - Ênfase3 61" xfId="662" xr:uid="{00000000-0005-0000-0000-000093020000}"/>
    <cellStyle name="20% - Ênfase3 62" xfId="663" xr:uid="{00000000-0005-0000-0000-000094020000}"/>
    <cellStyle name="20% - Ênfase3 63" xfId="664" xr:uid="{00000000-0005-0000-0000-000095020000}"/>
    <cellStyle name="20% - Ênfase3 64" xfId="665" xr:uid="{00000000-0005-0000-0000-000096020000}"/>
    <cellStyle name="20% - Ênfase3 65" xfId="666" xr:uid="{00000000-0005-0000-0000-000097020000}"/>
    <cellStyle name="20% - Ênfase3 66" xfId="667" xr:uid="{00000000-0005-0000-0000-000098020000}"/>
    <cellStyle name="20% - Ênfase3 67" xfId="668" xr:uid="{00000000-0005-0000-0000-000099020000}"/>
    <cellStyle name="20% - Ênfase3 68" xfId="669" xr:uid="{00000000-0005-0000-0000-00009A020000}"/>
    <cellStyle name="20% - Ênfase3 69" xfId="670" xr:uid="{00000000-0005-0000-0000-00009B020000}"/>
    <cellStyle name="20% - Ênfase3 7" xfId="671" xr:uid="{00000000-0005-0000-0000-00009C020000}"/>
    <cellStyle name="20% - Ênfase3 7 2" xfId="672" xr:uid="{00000000-0005-0000-0000-00009D020000}"/>
    <cellStyle name="20% - Ênfase3 7 2 2" xfId="673" xr:uid="{00000000-0005-0000-0000-00009E020000}"/>
    <cellStyle name="20% - Ênfase3 7 2_BD" xfId="674" xr:uid="{00000000-0005-0000-0000-00009F020000}"/>
    <cellStyle name="20% - Ênfase3 7 3" xfId="675" xr:uid="{00000000-0005-0000-0000-0000A0020000}"/>
    <cellStyle name="20% - Ênfase3 7 3 2" xfId="676" xr:uid="{00000000-0005-0000-0000-0000A1020000}"/>
    <cellStyle name="20% - Ênfase3 7 4" xfId="677" xr:uid="{00000000-0005-0000-0000-0000A2020000}"/>
    <cellStyle name="20% - Ênfase3 70" xfId="678" xr:uid="{00000000-0005-0000-0000-0000A3020000}"/>
    <cellStyle name="20% - Ênfase3 71" xfId="679" xr:uid="{00000000-0005-0000-0000-0000A4020000}"/>
    <cellStyle name="20% - Ênfase3 72" xfId="680" xr:uid="{00000000-0005-0000-0000-0000A5020000}"/>
    <cellStyle name="20% - Ênfase3 73" xfId="681" xr:uid="{00000000-0005-0000-0000-0000A6020000}"/>
    <cellStyle name="20% - Ênfase3 74" xfId="682" xr:uid="{00000000-0005-0000-0000-0000A7020000}"/>
    <cellStyle name="20% - Ênfase3 75" xfId="683" xr:uid="{00000000-0005-0000-0000-0000A8020000}"/>
    <cellStyle name="20% - Ênfase3 76" xfId="684" xr:uid="{00000000-0005-0000-0000-0000A9020000}"/>
    <cellStyle name="20% - Ênfase3 77" xfId="685" xr:uid="{00000000-0005-0000-0000-0000AA020000}"/>
    <cellStyle name="20% - Ênfase3 78" xfId="686" xr:uid="{00000000-0005-0000-0000-0000AB020000}"/>
    <cellStyle name="20% - Ênfase3 79" xfId="687" xr:uid="{00000000-0005-0000-0000-0000AC020000}"/>
    <cellStyle name="20% - Ênfase3 8" xfId="688" xr:uid="{00000000-0005-0000-0000-0000AD020000}"/>
    <cellStyle name="20% - Ênfase3 8 2" xfId="689" xr:uid="{00000000-0005-0000-0000-0000AE020000}"/>
    <cellStyle name="20% - Ênfase3 8 2 2" xfId="690" xr:uid="{00000000-0005-0000-0000-0000AF020000}"/>
    <cellStyle name="20% - Ênfase3 8 3" xfId="691" xr:uid="{00000000-0005-0000-0000-0000B0020000}"/>
    <cellStyle name="20% - Ênfase3 8 3 2" xfId="692" xr:uid="{00000000-0005-0000-0000-0000B1020000}"/>
    <cellStyle name="20% - Ênfase3 8 4" xfId="693" xr:uid="{00000000-0005-0000-0000-0000B2020000}"/>
    <cellStyle name="20% - Ênfase3 80" xfId="694" xr:uid="{00000000-0005-0000-0000-0000B3020000}"/>
    <cellStyle name="20% - Ênfase3 81" xfId="695" xr:uid="{00000000-0005-0000-0000-0000B4020000}"/>
    <cellStyle name="20% - Ênfase3 82" xfId="696" xr:uid="{00000000-0005-0000-0000-0000B5020000}"/>
    <cellStyle name="20% - Ênfase3 83" xfId="697" xr:uid="{00000000-0005-0000-0000-0000B6020000}"/>
    <cellStyle name="20% - Ênfase3 84" xfId="698" xr:uid="{00000000-0005-0000-0000-0000B7020000}"/>
    <cellStyle name="20% - Ênfase3 85" xfId="699" xr:uid="{00000000-0005-0000-0000-0000B8020000}"/>
    <cellStyle name="20% - Ênfase3 86" xfId="700" xr:uid="{00000000-0005-0000-0000-0000B9020000}"/>
    <cellStyle name="20% - Ênfase3 87" xfId="701" xr:uid="{00000000-0005-0000-0000-0000BA020000}"/>
    <cellStyle name="20% - Ênfase3 88" xfId="702" xr:uid="{00000000-0005-0000-0000-0000BB020000}"/>
    <cellStyle name="20% - Ênfase3 89" xfId="703" xr:uid="{00000000-0005-0000-0000-0000BC020000}"/>
    <cellStyle name="20% - Ênfase3 9" xfId="704" xr:uid="{00000000-0005-0000-0000-0000BD020000}"/>
    <cellStyle name="20% - Ênfase3 9 2" xfId="705" xr:uid="{00000000-0005-0000-0000-0000BE020000}"/>
    <cellStyle name="20% - Ênfase3 9 2 2" xfId="706" xr:uid="{00000000-0005-0000-0000-0000BF020000}"/>
    <cellStyle name="20% - Ênfase3 9 3" xfId="707" xr:uid="{00000000-0005-0000-0000-0000C0020000}"/>
    <cellStyle name="20% - Ênfase3 9 3 2" xfId="708" xr:uid="{00000000-0005-0000-0000-0000C1020000}"/>
    <cellStyle name="20% - Ênfase3 9 4" xfId="709" xr:uid="{00000000-0005-0000-0000-0000C2020000}"/>
    <cellStyle name="20% - Ênfase3 90" xfId="710" xr:uid="{00000000-0005-0000-0000-0000C3020000}"/>
    <cellStyle name="20% - Ênfase3 91" xfId="711" xr:uid="{00000000-0005-0000-0000-0000C4020000}"/>
    <cellStyle name="20% - Ênfase3 92" xfId="712" xr:uid="{00000000-0005-0000-0000-0000C5020000}"/>
    <cellStyle name="20% - Ênfase3 93" xfId="713" xr:uid="{00000000-0005-0000-0000-0000C6020000}"/>
    <cellStyle name="20% - Ênfase3 94" xfId="714" xr:uid="{00000000-0005-0000-0000-0000C7020000}"/>
    <cellStyle name="20% - Ênfase3 95" xfId="715" xr:uid="{00000000-0005-0000-0000-0000C8020000}"/>
    <cellStyle name="20% - Ênfase3 96" xfId="716" xr:uid="{00000000-0005-0000-0000-0000C9020000}"/>
    <cellStyle name="20% - Ênfase3 97" xfId="717" xr:uid="{00000000-0005-0000-0000-0000CA020000}"/>
    <cellStyle name="20% - Ênfase3 98" xfId="718" xr:uid="{00000000-0005-0000-0000-0000CB020000}"/>
    <cellStyle name="20% - Ênfase3 99" xfId="719" xr:uid="{00000000-0005-0000-0000-0000CC020000}"/>
    <cellStyle name="20% - Ênfase4 10" xfId="720" xr:uid="{00000000-0005-0000-0000-0000CD020000}"/>
    <cellStyle name="20% - Ênfase4 10 2" xfId="721" xr:uid="{00000000-0005-0000-0000-0000CE020000}"/>
    <cellStyle name="20% - Ênfase4 10 2 2" xfId="722" xr:uid="{00000000-0005-0000-0000-0000CF020000}"/>
    <cellStyle name="20% - Ênfase4 10 3" xfId="723" xr:uid="{00000000-0005-0000-0000-0000D0020000}"/>
    <cellStyle name="20% - Ênfase4 10 3 2" xfId="724" xr:uid="{00000000-0005-0000-0000-0000D1020000}"/>
    <cellStyle name="20% - Ênfase4 10 4" xfId="725" xr:uid="{00000000-0005-0000-0000-0000D2020000}"/>
    <cellStyle name="20% - Ênfase4 100" xfId="726" xr:uid="{00000000-0005-0000-0000-0000D3020000}"/>
    <cellStyle name="20% - Ênfase4 101" xfId="727" xr:uid="{00000000-0005-0000-0000-0000D4020000}"/>
    <cellStyle name="20% - Ênfase4 102" xfId="728" xr:uid="{00000000-0005-0000-0000-0000D5020000}"/>
    <cellStyle name="20% - Ênfase4 103" xfId="729" xr:uid="{00000000-0005-0000-0000-0000D6020000}"/>
    <cellStyle name="20% - Ênfase4 104" xfId="730" xr:uid="{00000000-0005-0000-0000-0000D7020000}"/>
    <cellStyle name="20% - Ênfase4 105" xfId="731" xr:uid="{00000000-0005-0000-0000-0000D8020000}"/>
    <cellStyle name="20% - Ênfase4 106" xfId="732" xr:uid="{00000000-0005-0000-0000-0000D9020000}"/>
    <cellStyle name="20% - Ênfase4 107" xfId="733" xr:uid="{00000000-0005-0000-0000-0000DA020000}"/>
    <cellStyle name="20% - Ênfase4 108" xfId="734" xr:uid="{00000000-0005-0000-0000-0000DB020000}"/>
    <cellStyle name="20% - Ênfase4 109" xfId="735" xr:uid="{00000000-0005-0000-0000-0000DC020000}"/>
    <cellStyle name="20% - Ênfase4 11" xfId="736" xr:uid="{00000000-0005-0000-0000-0000DD020000}"/>
    <cellStyle name="20% - Ênfase4 11 2" xfId="737" xr:uid="{00000000-0005-0000-0000-0000DE020000}"/>
    <cellStyle name="20% - Ênfase4 11 2 2" xfId="738" xr:uid="{00000000-0005-0000-0000-0000DF020000}"/>
    <cellStyle name="20% - Ênfase4 11 3" xfId="739" xr:uid="{00000000-0005-0000-0000-0000E0020000}"/>
    <cellStyle name="20% - Ênfase4 11 3 2" xfId="740" xr:uid="{00000000-0005-0000-0000-0000E1020000}"/>
    <cellStyle name="20% - Ênfase4 11 4" xfId="741" xr:uid="{00000000-0005-0000-0000-0000E2020000}"/>
    <cellStyle name="20% - Ênfase4 110" xfId="742" xr:uid="{00000000-0005-0000-0000-0000E3020000}"/>
    <cellStyle name="20% - Ênfase4 111" xfId="743" xr:uid="{00000000-0005-0000-0000-0000E4020000}"/>
    <cellStyle name="20% - Ênfase4 112" xfId="744" xr:uid="{00000000-0005-0000-0000-0000E5020000}"/>
    <cellStyle name="20% - Ênfase4 113" xfId="745" xr:uid="{00000000-0005-0000-0000-0000E6020000}"/>
    <cellStyle name="20% - Ênfase4 114" xfId="746" xr:uid="{00000000-0005-0000-0000-0000E7020000}"/>
    <cellStyle name="20% - Ênfase4 115" xfId="747" xr:uid="{00000000-0005-0000-0000-0000E8020000}"/>
    <cellStyle name="20% - Ênfase4 116" xfId="748" xr:uid="{00000000-0005-0000-0000-0000E9020000}"/>
    <cellStyle name="20% - Ênfase4 117" xfId="749" xr:uid="{00000000-0005-0000-0000-0000EA020000}"/>
    <cellStyle name="20% - Ênfase4 118" xfId="750" xr:uid="{00000000-0005-0000-0000-0000EB020000}"/>
    <cellStyle name="20% - Ênfase4 119" xfId="751" xr:uid="{00000000-0005-0000-0000-0000EC020000}"/>
    <cellStyle name="20% - Ênfase4 12" xfId="752" xr:uid="{00000000-0005-0000-0000-0000ED020000}"/>
    <cellStyle name="20% - Ênfase4 12 2" xfId="753" xr:uid="{00000000-0005-0000-0000-0000EE020000}"/>
    <cellStyle name="20% - Ênfase4 12 2 2" xfId="754" xr:uid="{00000000-0005-0000-0000-0000EF020000}"/>
    <cellStyle name="20% - Ênfase4 12 3" xfId="755" xr:uid="{00000000-0005-0000-0000-0000F0020000}"/>
    <cellStyle name="20% - Ênfase4 12 3 2" xfId="756" xr:uid="{00000000-0005-0000-0000-0000F1020000}"/>
    <cellStyle name="20% - Ênfase4 12 4" xfId="757" xr:uid="{00000000-0005-0000-0000-0000F2020000}"/>
    <cellStyle name="20% - Ênfase4 120" xfId="758" xr:uid="{00000000-0005-0000-0000-0000F3020000}"/>
    <cellStyle name="20% - Ênfase4 13" xfId="759" xr:uid="{00000000-0005-0000-0000-0000F4020000}"/>
    <cellStyle name="20% - Ênfase4 13 2" xfId="760" xr:uid="{00000000-0005-0000-0000-0000F5020000}"/>
    <cellStyle name="20% - Ênfase4 13 2 2" xfId="761" xr:uid="{00000000-0005-0000-0000-0000F6020000}"/>
    <cellStyle name="20% - Ênfase4 13 3" xfId="762" xr:uid="{00000000-0005-0000-0000-0000F7020000}"/>
    <cellStyle name="20% - Ênfase4 13 3 2" xfId="763" xr:uid="{00000000-0005-0000-0000-0000F8020000}"/>
    <cellStyle name="20% - Ênfase4 13 4" xfId="764" xr:uid="{00000000-0005-0000-0000-0000F9020000}"/>
    <cellStyle name="20% - Ênfase4 14" xfId="765" xr:uid="{00000000-0005-0000-0000-0000FA020000}"/>
    <cellStyle name="20% - Ênfase4 14 2" xfId="766" xr:uid="{00000000-0005-0000-0000-0000FB020000}"/>
    <cellStyle name="20% - Ênfase4 14 2 2" xfId="767" xr:uid="{00000000-0005-0000-0000-0000FC020000}"/>
    <cellStyle name="20% - Ênfase4 14 3" xfId="768" xr:uid="{00000000-0005-0000-0000-0000FD020000}"/>
    <cellStyle name="20% - Ênfase4 14 3 2" xfId="769" xr:uid="{00000000-0005-0000-0000-0000FE020000}"/>
    <cellStyle name="20% - Ênfase4 14 4" xfId="770" xr:uid="{00000000-0005-0000-0000-0000FF020000}"/>
    <cellStyle name="20% - Ênfase4 15" xfId="771" xr:uid="{00000000-0005-0000-0000-000000030000}"/>
    <cellStyle name="20% - Ênfase4 15 2" xfId="772" xr:uid="{00000000-0005-0000-0000-000001030000}"/>
    <cellStyle name="20% - Ênfase4 16" xfId="773" xr:uid="{00000000-0005-0000-0000-000002030000}"/>
    <cellStyle name="20% - Ênfase4 16 2" xfId="774" xr:uid="{00000000-0005-0000-0000-000003030000}"/>
    <cellStyle name="20% - Ênfase4 17" xfId="775" xr:uid="{00000000-0005-0000-0000-000004030000}"/>
    <cellStyle name="20% - Ênfase4 17 2" xfId="776" xr:uid="{00000000-0005-0000-0000-000005030000}"/>
    <cellStyle name="20% - Ênfase4 18" xfId="777" xr:uid="{00000000-0005-0000-0000-000006030000}"/>
    <cellStyle name="20% - Ênfase4 18 2" xfId="778" xr:uid="{00000000-0005-0000-0000-000007030000}"/>
    <cellStyle name="20% - Ênfase4 19" xfId="779" xr:uid="{00000000-0005-0000-0000-000008030000}"/>
    <cellStyle name="20% - Ênfase4 19 2" xfId="780" xr:uid="{00000000-0005-0000-0000-000009030000}"/>
    <cellStyle name="20% - Ênfase4 2" xfId="781" xr:uid="{00000000-0005-0000-0000-00000A030000}"/>
    <cellStyle name="20% - Ênfase4 2 2" xfId="782" xr:uid="{00000000-0005-0000-0000-00000B030000}"/>
    <cellStyle name="20% - Ênfase4 2 2 2" xfId="783" xr:uid="{00000000-0005-0000-0000-00000C030000}"/>
    <cellStyle name="20% - Ênfase4 2 2 2 2" xfId="784" xr:uid="{00000000-0005-0000-0000-00000D030000}"/>
    <cellStyle name="20% - Ênfase4 2 2 2 2 2" xfId="785" xr:uid="{00000000-0005-0000-0000-00000E030000}"/>
    <cellStyle name="20% - Ênfase4 2 2 2 2 2 2" xfId="786" xr:uid="{00000000-0005-0000-0000-00000F030000}"/>
    <cellStyle name="20% - Ênfase4 2 2 2 2 2 2 2" xfId="787" xr:uid="{00000000-0005-0000-0000-000010030000}"/>
    <cellStyle name="20% - Ênfase4 2 2 2 2 2 3" xfId="788" xr:uid="{00000000-0005-0000-0000-000011030000}"/>
    <cellStyle name="20% - Ênfase4 2 2 2 2 3" xfId="789" xr:uid="{00000000-0005-0000-0000-000012030000}"/>
    <cellStyle name="20% - Ênfase4 2 2 2 2 3 2" xfId="790" xr:uid="{00000000-0005-0000-0000-000013030000}"/>
    <cellStyle name="20% - Ênfase4 2 2 2 3" xfId="791" xr:uid="{00000000-0005-0000-0000-000014030000}"/>
    <cellStyle name="20% - Ênfase4 2 2 2 3 2" xfId="792" xr:uid="{00000000-0005-0000-0000-000015030000}"/>
    <cellStyle name="20% - Ênfase4 2 2 2_BD" xfId="793" xr:uid="{00000000-0005-0000-0000-000016030000}"/>
    <cellStyle name="20% - Ênfase4 2 2 3" xfId="794" xr:uid="{00000000-0005-0000-0000-000017030000}"/>
    <cellStyle name="20% - Ênfase4 2 2 3 2" xfId="795" xr:uid="{00000000-0005-0000-0000-000018030000}"/>
    <cellStyle name="20% - Ênfase4 2 2 4" xfId="796" xr:uid="{00000000-0005-0000-0000-000019030000}"/>
    <cellStyle name="20% - Ênfase4 2 2 5" xfId="797" xr:uid="{00000000-0005-0000-0000-00001A030000}"/>
    <cellStyle name="20% - Ênfase4 2 2 5 2" xfId="798" xr:uid="{00000000-0005-0000-0000-00001B030000}"/>
    <cellStyle name="20% - Ênfase4 2 2_BD" xfId="799" xr:uid="{00000000-0005-0000-0000-00001C030000}"/>
    <cellStyle name="20% - Ênfase4 2 3" xfId="800" xr:uid="{00000000-0005-0000-0000-00001D030000}"/>
    <cellStyle name="20% - Ênfase4 2 3 2" xfId="801" xr:uid="{00000000-0005-0000-0000-00001E030000}"/>
    <cellStyle name="20% - Ênfase4 2 3_BD" xfId="802" xr:uid="{00000000-0005-0000-0000-00001F030000}"/>
    <cellStyle name="20% - Ênfase4 2 4" xfId="803" xr:uid="{00000000-0005-0000-0000-000020030000}"/>
    <cellStyle name="20% - Ênfase4 2 5" xfId="804" xr:uid="{00000000-0005-0000-0000-000021030000}"/>
    <cellStyle name="20% - Ênfase4 2 6" xfId="805" xr:uid="{00000000-0005-0000-0000-000022030000}"/>
    <cellStyle name="20% - Ênfase4 2 6 2" xfId="806" xr:uid="{00000000-0005-0000-0000-000023030000}"/>
    <cellStyle name="20% - Ênfase4 2_BD" xfId="807" xr:uid="{00000000-0005-0000-0000-000024030000}"/>
    <cellStyle name="20% - Ênfase4 20" xfId="808" xr:uid="{00000000-0005-0000-0000-000025030000}"/>
    <cellStyle name="20% - Ênfase4 20 2" xfId="809" xr:uid="{00000000-0005-0000-0000-000026030000}"/>
    <cellStyle name="20% - Ênfase4 21" xfId="810" xr:uid="{00000000-0005-0000-0000-000027030000}"/>
    <cellStyle name="20% - Ênfase4 21 2" xfId="811" xr:uid="{00000000-0005-0000-0000-000028030000}"/>
    <cellStyle name="20% - Ênfase4 22" xfId="812" xr:uid="{00000000-0005-0000-0000-000029030000}"/>
    <cellStyle name="20% - Ênfase4 22 2" xfId="813" xr:uid="{00000000-0005-0000-0000-00002A030000}"/>
    <cellStyle name="20% - Ênfase4 23" xfId="814" xr:uid="{00000000-0005-0000-0000-00002B030000}"/>
    <cellStyle name="20% - Ênfase4 23 2" xfId="815" xr:uid="{00000000-0005-0000-0000-00002C030000}"/>
    <cellStyle name="20% - Ênfase4 24" xfId="816" xr:uid="{00000000-0005-0000-0000-00002D030000}"/>
    <cellStyle name="20% - Ênfase4 24 2" xfId="817" xr:uid="{00000000-0005-0000-0000-00002E030000}"/>
    <cellStyle name="20% - Ênfase4 25" xfId="818" xr:uid="{00000000-0005-0000-0000-00002F030000}"/>
    <cellStyle name="20% - Ênfase4 25 2" xfId="819" xr:uid="{00000000-0005-0000-0000-000030030000}"/>
    <cellStyle name="20% - Ênfase4 26" xfId="820" xr:uid="{00000000-0005-0000-0000-000031030000}"/>
    <cellStyle name="20% - Ênfase4 26 2" xfId="821" xr:uid="{00000000-0005-0000-0000-000032030000}"/>
    <cellStyle name="20% - Ênfase4 27" xfId="822" xr:uid="{00000000-0005-0000-0000-000033030000}"/>
    <cellStyle name="20% - Ênfase4 27 2" xfId="823" xr:uid="{00000000-0005-0000-0000-000034030000}"/>
    <cellStyle name="20% - Ênfase4 28" xfId="824" xr:uid="{00000000-0005-0000-0000-000035030000}"/>
    <cellStyle name="20% - Ênfase4 28 2" xfId="825" xr:uid="{00000000-0005-0000-0000-000036030000}"/>
    <cellStyle name="20% - Ênfase4 29" xfId="826" xr:uid="{00000000-0005-0000-0000-000037030000}"/>
    <cellStyle name="20% - Ênfase4 3" xfId="827" xr:uid="{00000000-0005-0000-0000-000038030000}"/>
    <cellStyle name="20% - Ênfase4 3 2" xfId="828" xr:uid="{00000000-0005-0000-0000-000039030000}"/>
    <cellStyle name="20% - Ênfase4 3 2 2" xfId="829" xr:uid="{00000000-0005-0000-0000-00003A030000}"/>
    <cellStyle name="20% - Ênfase4 3 2_BD" xfId="830" xr:uid="{00000000-0005-0000-0000-00003B030000}"/>
    <cellStyle name="20% - Ênfase4 3 3" xfId="831" xr:uid="{00000000-0005-0000-0000-00003C030000}"/>
    <cellStyle name="20% - Ênfase4 3 3 2" xfId="832" xr:uid="{00000000-0005-0000-0000-00003D030000}"/>
    <cellStyle name="20% - Ênfase4 3 3_BD" xfId="833" xr:uid="{00000000-0005-0000-0000-00003E030000}"/>
    <cellStyle name="20% - Ênfase4 3 4" xfId="834" xr:uid="{00000000-0005-0000-0000-00003F030000}"/>
    <cellStyle name="20% - Ênfase4 30" xfId="835" xr:uid="{00000000-0005-0000-0000-000040030000}"/>
    <cellStyle name="20% - Ênfase4 31" xfId="836" xr:uid="{00000000-0005-0000-0000-000041030000}"/>
    <cellStyle name="20% - Ênfase4 32" xfId="837" xr:uid="{00000000-0005-0000-0000-000042030000}"/>
    <cellStyle name="20% - Ênfase4 33" xfId="838" xr:uid="{00000000-0005-0000-0000-000043030000}"/>
    <cellStyle name="20% - Ênfase4 34" xfId="839" xr:uid="{00000000-0005-0000-0000-000044030000}"/>
    <cellStyle name="20% - Ênfase4 35" xfId="840" xr:uid="{00000000-0005-0000-0000-000045030000}"/>
    <cellStyle name="20% - Ênfase4 36" xfId="841" xr:uid="{00000000-0005-0000-0000-000046030000}"/>
    <cellStyle name="20% - Ênfase4 36 2" xfId="842" xr:uid="{00000000-0005-0000-0000-000047030000}"/>
    <cellStyle name="20% - Ênfase4 36 3" xfId="843" xr:uid="{00000000-0005-0000-0000-000048030000}"/>
    <cellStyle name="20% - Ênfase4 36 4" xfId="844" xr:uid="{00000000-0005-0000-0000-000049030000}"/>
    <cellStyle name="20% - Ênfase4 37" xfId="845" xr:uid="{00000000-0005-0000-0000-00004A030000}"/>
    <cellStyle name="20% - Ênfase4 37 2" xfId="846" xr:uid="{00000000-0005-0000-0000-00004B030000}"/>
    <cellStyle name="20% - Ênfase4 37 3" xfId="847" xr:uid="{00000000-0005-0000-0000-00004C030000}"/>
    <cellStyle name="20% - Ênfase4 37 4" xfId="848" xr:uid="{00000000-0005-0000-0000-00004D030000}"/>
    <cellStyle name="20% - Ênfase4 38" xfId="849" xr:uid="{00000000-0005-0000-0000-00004E030000}"/>
    <cellStyle name="20% - Ênfase4 38 2" xfId="850" xr:uid="{00000000-0005-0000-0000-00004F030000}"/>
    <cellStyle name="20% - Ênfase4 38 3" xfId="851" xr:uid="{00000000-0005-0000-0000-000050030000}"/>
    <cellStyle name="20% - Ênfase4 38 4" xfId="852" xr:uid="{00000000-0005-0000-0000-000051030000}"/>
    <cellStyle name="20% - Ênfase4 39" xfId="853" xr:uid="{00000000-0005-0000-0000-000052030000}"/>
    <cellStyle name="20% - Ênfase4 39 2" xfId="854" xr:uid="{00000000-0005-0000-0000-000053030000}"/>
    <cellStyle name="20% - Ênfase4 39 3" xfId="855" xr:uid="{00000000-0005-0000-0000-000054030000}"/>
    <cellStyle name="20% - Ênfase4 39 4" xfId="856" xr:uid="{00000000-0005-0000-0000-000055030000}"/>
    <cellStyle name="20% - Ênfase4 4" xfId="857" xr:uid="{00000000-0005-0000-0000-000056030000}"/>
    <cellStyle name="20% - Ênfase4 4 2" xfId="858" xr:uid="{00000000-0005-0000-0000-000057030000}"/>
    <cellStyle name="20% - Ênfase4 4 2 2" xfId="859" xr:uid="{00000000-0005-0000-0000-000058030000}"/>
    <cellStyle name="20% - Ênfase4 4 2_BD" xfId="860" xr:uid="{00000000-0005-0000-0000-000059030000}"/>
    <cellStyle name="20% - Ênfase4 4 3" xfId="861" xr:uid="{00000000-0005-0000-0000-00005A030000}"/>
    <cellStyle name="20% - Ênfase4 4 3 2" xfId="862" xr:uid="{00000000-0005-0000-0000-00005B030000}"/>
    <cellStyle name="20% - Ênfase4 4 3_BD" xfId="863" xr:uid="{00000000-0005-0000-0000-00005C030000}"/>
    <cellStyle name="20% - Ênfase4 4 4" xfId="864" xr:uid="{00000000-0005-0000-0000-00005D030000}"/>
    <cellStyle name="20% - Ênfase4 40" xfId="865" xr:uid="{00000000-0005-0000-0000-00005E030000}"/>
    <cellStyle name="20% - Ênfase4 40 2" xfId="866" xr:uid="{00000000-0005-0000-0000-00005F030000}"/>
    <cellStyle name="20% - Ênfase4 41" xfId="867" xr:uid="{00000000-0005-0000-0000-000060030000}"/>
    <cellStyle name="20% - Ênfase4 42" xfId="868" xr:uid="{00000000-0005-0000-0000-000061030000}"/>
    <cellStyle name="20% - Ênfase4 43" xfId="869" xr:uid="{00000000-0005-0000-0000-000062030000}"/>
    <cellStyle name="20% - Ênfase4 44" xfId="870" xr:uid="{00000000-0005-0000-0000-000063030000}"/>
    <cellStyle name="20% - Ênfase4 45" xfId="871" xr:uid="{00000000-0005-0000-0000-000064030000}"/>
    <cellStyle name="20% - Ênfase4 46" xfId="872" xr:uid="{00000000-0005-0000-0000-000065030000}"/>
    <cellStyle name="20% - Ênfase4 47" xfId="873" xr:uid="{00000000-0005-0000-0000-000066030000}"/>
    <cellStyle name="20% - Ênfase4 48" xfId="874" xr:uid="{00000000-0005-0000-0000-000067030000}"/>
    <cellStyle name="20% - Ênfase4 49" xfId="875" xr:uid="{00000000-0005-0000-0000-000068030000}"/>
    <cellStyle name="20% - Ênfase4 5" xfId="876" xr:uid="{00000000-0005-0000-0000-000069030000}"/>
    <cellStyle name="20% - Ênfase4 5 2" xfId="877" xr:uid="{00000000-0005-0000-0000-00006A030000}"/>
    <cellStyle name="20% - Ênfase4 5 2 2" xfId="878" xr:uid="{00000000-0005-0000-0000-00006B030000}"/>
    <cellStyle name="20% - Ênfase4 5 2_BD" xfId="879" xr:uid="{00000000-0005-0000-0000-00006C030000}"/>
    <cellStyle name="20% - Ênfase4 5 3" xfId="880" xr:uid="{00000000-0005-0000-0000-00006D030000}"/>
    <cellStyle name="20% - Ênfase4 5 3 2" xfId="881" xr:uid="{00000000-0005-0000-0000-00006E030000}"/>
    <cellStyle name="20% - Ênfase4 5 4" xfId="882" xr:uid="{00000000-0005-0000-0000-00006F030000}"/>
    <cellStyle name="20% - Ênfase4 50" xfId="883" xr:uid="{00000000-0005-0000-0000-000070030000}"/>
    <cellStyle name="20% - Ênfase4 51" xfId="884" xr:uid="{00000000-0005-0000-0000-000071030000}"/>
    <cellStyle name="20% - Ênfase4 52" xfId="885" xr:uid="{00000000-0005-0000-0000-000072030000}"/>
    <cellStyle name="20% - Ênfase4 53" xfId="886" xr:uid="{00000000-0005-0000-0000-000073030000}"/>
    <cellStyle name="20% - Ênfase4 54" xfId="887" xr:uid="{00000000-0005-0000-0000-000074030000}"/>
    <cellStyle name="20% - Ênfase4 55" xfId="888" xr:uid="{00000000-0005-0000-0000-000075030000}"/>
    <cellStyle name="20% - Ênfase4 56" xfId="889" xr:uid="{00000000-0005-0000-0000-000076030000}"/>
    <cellStyle name="20% - Ênfase4 57" xfId="890" xr:uid="{00000000-0005-0000-0000-000077030000}"/>
    <cellStyle name="20% - Ênfase4 58" xfId="891" xr:uid="{00000000-0005-0000-0000-000078030000}"/>
    <cellStyle name="20% - Ênfase4 59" xfId="892" xr:uid="{00000000-0005-0000-0000-000079030000}"/>
    <cellStyle name="20% - Ênfase4 6" xfId="893" xr:uid="{00000000-0005-0000-0000-00007A030000}"/>
    <cellStyle name="20% - Ênfase4 6 2" xfId="894" xr:uid="{00000000-0005-0000-0000-00007B030000}"/>
    <cellStyle name="20% - Ênfase4 6 2 2" xfId="895" xr:uid="{00000000-0005-0000-0000-00007C030000}"/>
    <cellStyle name="20% - Ênfase4 6 2_BD" xfId="896" xr:uid="{00000000-0005-0000-0000-00007D030000}"/>
    <cellStyle name="20% - Ênfase4 6 3" xfId="897" xr:uid="{00000000-0005-0000-0000-00007E030000}"/>
    <cellStyle name="20% - Ênfase4 6 3 2" xfId="898" xr:uid="{00000000-0005-0000-0000-00007F030000}"/>
    <cellStyle name="20% - Ênfase4 6 4" xfId="899" xr:uid="{00000000-0005-0000-0000-000080030000}"/>
    <cellStyle name="20% - Ênfase4 60" xfId="900" xr:uid="{00000000-0005-0000-0000-000081030000}"/>
    <cellStyle name="20% - Ênfase4 61" xfId="901" xr:uid="{00000000-0005-0000-0000-000082030000}"/>
    <cellStyle name="20% - Ênfase4 62" xfId="902" xr:uid="{00000000-0005-0000-0000-000083030000}"/>
    <cellStyle name="20% - Ênfase4 63" xfId="903" xr:uid="{00000000-0005-0000-0000-000084030000}"/>
    <cellStyle name="20% - Ênfase4 64" xfId="904" xr:uid="{00000000-0005-0000-0000-000085030000}"/>
    <cellStyle name="20% - Ênfase4 65" xfId="905" xr:uid="{00000000-0005-0000-0000-000086030000}"/>
    <cellStyle name="20% - Ênfase4 66" xfId="906" xr:uid="{00000000-0005-0000-0000-000087030000}"/>
    <cellStyle name="20% - Ênfase4 67" xfId="907" xr:uid="{00000000-0005-0000-0000-000088030000}"/>
    <cellStyle name="20% - Ênfase4 68" xfId="908" xr:uid="{00000000-0005-0000-0000-000089030000}"/>
    <cellStyle name="20% - Ênfase4 69" xfId="909" xr:uid="{00000000-0005-0000-0000-00008A030000}"/>
    <cellStyle name="20% - Ênfase4 7" xfId="910" xr:uid="{00000000-0005-0000-0000-00008B030000}"/>
    <cellStyle name="20% - Ênfase4 7 2" xfId="911" xr:uid="{00000000-0005-0000-0000-00008C030000}"/>
    <cellStyle name="20% - Ênfase4 7 2 2" xfId="912" xr:uid="{00000000-0005-0000-0000-00008D030000}"/>
    <cellStyle name="20% - Ênfase4 7 2_BD" xfId="913" xr:uid="{00000000-0005-0000-0000-00008E030000}"/>
    <cellStyle name="20% - Ênfase4 7 3" xfId="914" xr:uid="{00000000-0005-0000-0000-00008F030000}"/>
    <cellStyle name="20% - Ênfase4 7 3 2" xfId="915" xr:uid="{00000000-0005-0000-0000-000090030000}"/>
    <cellStyle name="20% - Ênfase4 7 4" xfId="916" xr:uid="{00000000-0005-0000-0000-000091030000}"/>
    <cellStyle name="20% - Ênfase4 70" xfId="917" xr:uid="{00000000-0005-0000-0000-000092030000}"/>
    <cellStyle name="20% - Ênfase4 71" xfId="918" xr:uid="{00000000-0005-0000-0000-000093030000}"/>
    <cellStyle name="20% - Ênfase4 72" xfId="919" xr:uid="{00000000-0005-0000-0000-000094030000}"/>
    <cellStyle name="20% - Ênfase4 73" xfId="920" xr:uid="{00000000-0005-0000-0000-000095030000}"/>
    <cellStyle name="20% - Ênfase4 74" xfId="921" xr:uid="{00000000-0005-0000-0000-000096030000}"/>
    <cellStyle name="20% - Ênfase4 75" xfId="922" xr:uid="{00000000-0005-0000-0000-000097030000}"/>
    <cellStyle name="20% - Ênfase4 76" xfId="923" xr:uid="{00000000-0005-0000-0000-000098030000}"/>
    <cellStyle name="20% - Ênfase4 77" xfId="924" xr:uid="{00000000-0005-0000-0000-000099030000}"/>
    <cellStyle name="20% - Ênfase4 78" xfId="925" xr:uid="{00000000-0005-0000-0000-00009A030000}"/>
    <cellStyle name="20% - Ênfase4 79" xfId="926" xr:uid="{00000000-0005-0000-0000-00009B030000}"/>
    <cellStyle name="20% - Ênfase4 8" xfId="927" xr:uid="{00000000-0005-0000-0000-00009C030000}"/>
    <cellStyle name="20% - Ênfase4 8 2" xfId="928" xr:uid="{00000000-0005-0000-0000-00009D030000}"/>
    <cellStyle name="20% - Ênfase4 8 2 2" xfId="929" xr:uid="{00000000-0005-0000-0000-00009E030000}"/>
    <cellStyle name="20% - Ênfase4 8 3" xfId="930" xr:uid="{00000000-0005-0000-0000-00009F030000}"/>
    <cellStyle name="20% - Ênfase4 8 3 2" xfId="931" xr:uid="{00000000-0005-0000-0000-0000A0030000}"/>
    <cellStyle name="20% - Ênfase4 8 4" xfId="932" xr:uid="{00000000-0005-0000-0000-0000A1030000}"/>
    <cellStyle name="20% - Ênfase4 80" xfId="933" xr:uid="{00000000-0005-0000-0000-0000A2030000}"/>
    <cellStyle name="20% - Ênfase4 81" xfId="934" xr:uid="{00000000-0005-0000-0000-0000A3030000}"/>
    <cellStyle name="20% - Ênfase4 82" xfId="935" xr:uid="{00000000-0005-0000-0000-0000A4030000}"/>
    <cellStyle name="20% - Ênfase4 83" xfId="936" xr:uid="{00000000-0005-0000-0000-0000A5030000}"/>
    <cellStyle name="20% - Ênfase4 84" xfId="937" xr:uid="{00000000-0005-0000-0000-0000A6030000}"/>
    <cellStyle name="20% - Ênfase4 85" xfId="938" xr:uid="{00000000-0005-0000-0000-0000A7030000}"/>
    <cellStyle name="20% - Ênfase4 86" xfId="939" xr:uid="{00000000-0005-0000-0000-0000A8030000}"/>
    <cellStyle name="20% - Ênfase4 87" xfId="940" xr:uid="{00000000-0005-0000-0000-0000A9030000}"/>
    <cellStyle name="20% - Ênfase4 88" xfId="941" xr:uid="{00000000-0005-0000-0000-0000AA030000}"/>
    <cellStyle name="20% - Ênfase4 89" xfId="942" xr:uid="{00000000-0005-0000-0000-0000AB030000}"/>
    <cellStyle name="20% - Ênfase4 9" xfId="943" xr:uid="{00000000-0005-0000-0000-0000AC030000}"/>
    <cellStyle name="20% - Ênfase4 9 2" xfId="944" xr:uid="{00000000-0005-0000-0000-0000AD030000}"/>
    <cellStyle name="20% - Ênfase4 9 2 2" xfId="945" xr:uid="{00000000-0005-0000-0000-0000AE030000}"/>
    <cellStyle name="20% - Ênfase4 9 3" xfId="946" xr:uid="{00000000-0005-0000-0000-0000AF030000}"/>
    <cellStyle name="20% - Ênfase4 9 3 2" xfId="947" xr:uid="{00000000-0005-0000-0000-0000B0030000}"/>
    <cellStyle name="20% - Ênfase4 9 4" xfId="948" xr:uid="{00000000-0005-0000-0000-0000B1030000}"/>
    <cellStyle name="20% - Ênfase4 90" xfId="949" xr:uid="{00000000-0005-0000-0000-0000B2030000}"/>
    <cellStyle name="20% - Ênfase4 91" xfId="950" xr:uid="{00000000-0005-0000-0000-0000B3030000}"/>
    <cellStyle name="20% - Ênfase4 92" xfId="951" xr:uid="{00000000-0005-0000-0000-0000B4030000}"/>
    <cellStyle name="20% - Ênfase4 93" xfId="952" xr:uid="{00000000-0005-0000-0000-0000B5030000}"/>
    <cellStyle name="20% - Ênfase4 94" xfId="953" xr:uid="{00000000-0005-0000-0000-0000B6030000}"/>
    <cellStyle name="20% - Ênfase4 95" xfId="954" xr:uid="{00000000-0005-0000-0000-0000B7030000}"/>
    <cellStyle name="20% - Ênfase4 96" xfId="955" xr:uid="{00000000-0005-0000-0000-0000B8030000}"/>
    <cellStyle name="20% - Ênfase4 97" xfId="956" xr:uid="{00000000-0005-0000-0000-0000B9030000}"/>
    <cellStyle name="20% - Ênfase4 98" xfId="957" xr:uid="{00000000-0005-0000-0000-0000BA030000}"/>
    <cellStyle name="20% - Ênfase4 99" xfId="958" xr:uid="{00000000-0005-0000-0000-0000BB030000}"/>
    <cellStyle name="20% - Ênfase5 10" xfId="959" xr:uid="{00000000-0005-0000-0000-0000BC030000}"/>
    <cellStyle name="20% - Ênfase5 10 2" xfId="960" xr:uid="{00000000-0005-0000-0000-0000BD030000}"/>
    <cellStyle name="20% - Ênfase5 10 2 2" xfId="961" xr:uid="{00000000-0005-0000-0000-0000BE030000}"/>
    <cellStyle name="20% - Ênfase5 10 3" xfId="962" xr:uid="{00000000-0005-0000-0000-0000BF030000}"/>
    <cellStyle name="20% - Ênfase5 10 3 2" xfId="963" xr:uid="{00000000-0005-0000-0000-0000C0030000}"/>
    <cellStyle name="20% - Ênfase5 10 4" xfId="964" xr:uid="{00000000-0005-0000-0000-0000C1030000}"/>
    <cellStyle name="20% - Ênfase5 100" xfId="965" xr:uid="{00000000-0005-0000-0000-0000C2030000}"/>
    <cellStyle name="20% - Ênfase5 101" xfId="966" xr:uid="{00000000-0005-0000-0000-0000C3030000}"/>
    <cellStyle name="20% - Ênfase5 102" xfId="967" xr:uid="{00000000-0005-0000-0000-0000C4030000}"/>
    <cellStyle name="20% - Ênfase5 103" xfId="968" xr:uid="{00000000-0005-0000-0000-0000C5030000}"/>
    <cellStyle name="20% - Ênfase5 104" xfId="969" xr:uid="{00000000-0005-0000-0000-0000C6030000}"/>
    <cellStyle name="20% - Ênfase5 105" xfId="970" xr:uid="{00000000-0005-0000-0000-0000C7030000}"/>
    <cellStyle name="20% - Ênfase5 106" xfId="971" xr:uid="{00000000-0005-0000-0000-0000C8030000}"/>
    <cellStyle name="20% - Ênfase5 107" xfId="972" xr:uid="{00000000-0005-0000-0000-0000C9030000}"/>
    <cellStyle name="20% - Ênfase5 108" xfId="973" xr:uid="{00000000-0005-0000-0000-0000CA030000}"/>
    <cellStyle name="20% - Ênfase5 109" xfId="974" xr:uid="{00000000-0005-0000-0000-0000CB030000}"/>
    <cellStyle name="20% - Ênfase5 11" xfId="975" xr:uid="{00000000-0005-0000-0000-0000CC030000}"/>
    <cellStyle name="20% - Ênfase5 11 2" xfId="976" xr:uid="{00000000-0005-0000-0000-0000CD030000}"/>
    <cellStyle name="20% - Ênfase5 11 2 2" xfId="977" xr:uid="{00000000-0005-0000-0000-0000CE030000}"/>
    <cellStyle name="20% - Ênfase5 11 3" xfId="978" xr:uid="{00000000-0005-0000-0000-0000CF030000}"/>
    <cellStyle name="20% - Ênfase5 11 3 2" xfId="979" xr:uid="{00000000-0005-0000-0000-0000D0030000}"/>
    <cellStyle name="20% - Ênfase5 11 4" xfId="980" xr:uid="{00000000-0005-0000-0000-0000D1030000}"/>
    <cellStyle name="20% - Ênfase5 110" xfId="981" xr:uid="{00000000-0005-0000-0000-0000D2030000}"/>
    <cellStyle name="20% - Ênfase5 111" xfId="982" xr:uid="{00000000-0005-0000-0000-0000D3030000}"/>
    <cellStyle name="20% - Ênfase5 112" xfId="983" xr:uid="{00000000-0005-0000-0000-0000D4030000}"/>
    <cellStyle name="20% - Ênfase5 113" xfId="984" xr:uid="{00000000-0005-0000-0000-0000D5030000}"/>
    <cellStyle name="20% - Ênfase5 114" xfId="985" xr:uid="{00000000-0005-0000-0000-0000D6030000}"/>
    <cellStyle name="20% - Ênfase5 115" xfId="986" xr:uid="{00000000-0005-0000-0000-0000D7030000}"/>
    <cellStyle name="20% - Ênfase5 116" xfId="987" xr:uid="{00000000-0005-0000-0000-0000D8030000}"/>
    <cellStyle name="20% - Ênfase5 117" xfId="988" xr:uid="{00000000-0005-0000-0000-0000D9030000}"/>
    <cellStyle name="20% - Ênfase5 118" xfId="989" xr:uid="{00000000-0005-0000-0000-0000DA030000}"/>
    <cellStyle name="20% - Ênfase5 119" xfId="990" xr:uid="{00000000-0005-0000-0000-0000DB030000}"/>
    <cellStyle name="20% - Ênfase5 12" xfId="991" xr:uid="{00000000-0005-0000-0000-0000DC030000}"/>
    <cellStyle name="20% - Ênfase5 12 2" xfId="992" xr:uid="{00000000-0005-0000-0000-0000DD030000}"/>
    <cellStyle name="20% - Ênfase5 12 2 2" xfId="993" xr:uid="{00000000-0005-0000-0000-0000DE030000}"/>
    <cellStyle name="20% - Ênfase5 12 3" xfId="994" xr:uid="{00000000-0005-0000-0000-0000DF030000}"/>
    <cellStyle name="20% - Ênfase5 12 3 2" xfId="995" xr:uid="{00000000-0005-0000-0000-0000E0030000}"/>
    <cellStyle name="20% - Ênfase5 12 4" xfId="996" xr:uid="{00000000-0005-0000-0000-0000E1030000}"/>
    <cellStyle name="20% - Ênfase5 120" xfId="997" xr:uid="{00000000-0005-0000-0000-0000E2030000}"/>
    <cellStyle name="20% - Ênfase5 13" xfId="998" xr:uid="{00000000-0005-0000-0000-0000E3030000}"/>
    <cellStyle name="20% - Ênfase5 13 2" xfId="999" xr:uid="{00000000-0005-0000-0000-0000E4030000}"/>
    <cellStyle name="20% - Ênfase5 13 2 2" xfId="1000" xr:uid="{00000000-0005-0000-0000-0000E5030000}"/>
    <cellStyle name="20% - Ênfase5 13 3" xfId="1001" xr:uid="{00000000-0005-0000-0000-0000E6030000}"/>
    <cellStyle name="20% - Ênfase5 13 3 2" xfId="1002" xr:uid="{00000000-0005-0000-0000-0000E7030000}"/>
    <cellStyle name="20% - Ênfase5 13 4" xfId="1003" xr:uid="{00000000-0005-0000-0000-0000E8030000}"/>
    <cellStyle name="20% - Ênfase5 14" xfId="1004" xr:uid="{00000000-0005-0000-0000-0000E9030000}"/>
    <cellStyle name="20% - Ênfase5 14 2" xfId="1005" xr:uid="{00000000-0005-0000-0000-0000EA030000}"/>
    <cellStyle name="20% - Ênfase5 14 2 2" xfId="1006" xr:uid="{00000000-0005-0000-0000-0000EB030000}"/>
    <cellStyle name="20% - Ênfase5 14 3" xfId="1007" xr:uid="{00000000-0005-0000-0000-0000EC030000}"/>
    <cellStyle name="20% - Ênfase5 14 3 2" xfId="1008" xr:uid="{00000000-0005-0000-0000-0000ED030000}"/>
    <cellStyle name="20% - Ênfase5 14 4" xfId="1009" xr:uid="{00000000-0005-0000-0000-0000EE030000}"/>
    <cellStyle name="20% - Ênfase5 15" xfId="1010" xr:uid="{00000000-0005-0000-0000-0000EF030000}"/>
    <cellStyle name="20% - Ênfase5 15 2" xfId="1011" xr:uid="{00000000-0005-0000-0000-0000F0030000}"/>
    <cellStyle name="20% - Ênfase5 16" xfId="1012" xr:uid="{00000000-0005-0000-0000-0000F1030000}"/>
    <cellStyle name="20% - Ênfase5 16 2" xfId="1013" xr:uid="{00000000-0005-0000-0000-0000F2030000}"/>
    <cellStyle name="20% - Ênfase5 17" xfId="1014" xr:uid="{00000000-0005-0000-0000-0000F3030000}"/>
    <cellStyle name="20% - Ênfase5 17 2" xfId="1015" xr:uid="{00000000-0005-0000-0000-0000F4030000}"/>
    <cellStyle name="20% - Ênfase5 18" xfId="1016" xr:uid="{00000000-0005-0000-0000-0000F5030000}"/>
    <cellStyle name="20% - Ênfase5 18 2" xfId="1017" xr:uid="{00000000-0005-0000-0000-0000F6030000}"/>
    <cellStyle name="20% - Ênfase5 19" xfId="1018" xr:uid="{00000000-0005-0000-0000-0000F7030000}"/>
    <cellStyle name="20% - Ênfase5 19 2" xfId="1019" xr:uid="{00000000-0005-0000-0000-0000F8030000}"/>
    <cellStyle name="20% - Ênfase5 2" xfId="1020" xr:uid="{00000000-0005-0000-0000-0000F9030000}"/>
    <cellStyle name="20% - Ênfase5 2 2" xfId="1021" xr:uid="{00000000-0005-0000-0000-0000FA030000}"/>
    <cellStyle name="20% - Ênfase5 2 2 2" xfId="1022" xr:uid="{00000000-0005-0000-0000-0000FB030000}"/>
    <cellStyle name="20% - Ênfase5 2 2 2 2" xfId="1023" xr:uid="{00000000-0005-0000-0000-0000FC030000}"/>
    <cellStyle name="20% - Ênfase5 2 2 2 2 2" xfId="1024" xr:uid="{00000000-0005-0000-0000-0000FD030000}"/>
    <cellStyle name="20% - Ênfase5 2 2 2 2 2 2" xfId="1025" xr:uid="{00000000-0005-0000-0000-0000FE030000}"/>
    <cellStyle name="20% - Ênfase5 2 2 2 2 2 2 2" xfId="1026" xr:uid="{00000000-0005-0000-0000-0000FF030000}"/>
    <cellStyle name="20% - Ênfase5 2 2 2 2 2 3" xfId="1027" xr:uid="{00000000-0005-0000-0000-000000040000}"/>
    <cellStyle name="20% - Ênfase5 2 2 2 2 3" xfId="1028" xr:uid="{00000000-0005-0000-0000-000001040000}"/>
    <cellStyle name="20% - Ênfase5 2 2 2 2 3 2" xfId="1029" xr:uid="{00000000-0005-0000-0000-000002040000}"/>
    <cellStyle name="20% - Ênfase5 2 2 2 3" xfId="1030" xr:uid="{00000000-0005-0000-0000-000003040000}"/>
    <cellStyle name="20% - Ênfase5 2 2 2 3 2" xfId="1031" xr:uid="{00000000-0005-0000-0000-000004040000}"/>
    <cellStyle name="20% - Ênfase5 2 2 2_BD" xfId="1032" xr:uid="{00000000-0005-0000-0000-000005040000}"/>
    <cellStyle name="20% - Ênfase5 2 2 3" xfId="1033" xr:uid="{00000000-0005-0000-0000-000006040000}"/>
    <cellStyle name="20% - Ênfase5 2 2 3 2" xfId="1034" xr:uid="{00000000-0005-0000-0000-000007040000}"/>
    <cellStyle name="20% - Ênfase5 2 2 4" xfId="1035" xr:uid="{00000000-0005-0000-0000-000008040000}"/>
    <cellStyle name="20% - Ênfase5 2 2 5" xfId="1036" xr:uid="{00000000-0005-0000-0000-000009040000}"/>
    <cellStyle name="20% - Ênfase5 2 2 5 2" xfId="1037" xr:uid="{00000000-0005-0000-0000-00000A040000}"/>
    <cellStyle name="20% - Ênfase5 2 2_BD" xfId="1038" xr:uid="{00000000-0005-0000-0000-00000B040000}"/>
    <cellStyle name="20% - Ênfase5 2 3" xfId="1039" xr:uid="{00000000-0005-0000-0000-00000C040000}"/>
    <cellStyle name="20% - Ênfase5 2 3 2" xfId="1040" xr:uid="{00000000-0005-0000-0000-00000D040000}"/>
    <cellStyle name="20% - Ênfase5 2 3_BD" xfId="1041" xr:uid="{00000000-0005-0000-0000-00000E040000}"/>
    <cellStyle name="20% - Ênfase5 2 4" xfId="1042" xr:uid="{00000000-0005-0000-0000-00000F040000}"/>
    <cellStyle name="20% - Ênfase5 2 5" xfId="1043" xr:uid="{00000000-0005-0000-0000-000010040000}"/>
    <cellStyle name="20% - Ênfase5 2 6" xfId="1044" xr:uid="{00000000-0005-0000-0000-000011040000}"/>
    <cellStyle name="20% - Ênfase5 2 6 2" xfId="1045" xr:uid="{00000000-0005-0000-0000-000012040000}"/>
    <cellStyle name="20% - Ênfase5 2_BD" xfId="1046" xr:uid="{00000000-0005-0000-0000-000013040000}"/>
    <cellStyle name="20% - Ênfase5 20" xfId="1047" xr:uid="{00000000-0005-0000-0000-000014040000}"/>
    <cellStyle name="20% - Ênfase5 20 2" xfId="1048" xr:uid="{00000000-0005-0000-0000-000015040000}"/>
    <cellStyle name="20% - Ênfase5 21" xfId="1049" xr:uid="{00000000-0005-0000-0000-000016040000}"/>
    <cellStyle name="20% - Ênfase5 21 2" xfId="1050" xr:uid="{00000000-0005-0000-0000-000017040000}"/>
    <cellStyle name="20% - Ênfase5 22" xfId="1051" xr:uid="{00000000-0005-0000-0000-000018040000}"/>
    <cellStyle name="20% - Ênfase5 22 2" xfId="1052" xr:uid="{00000000-0005-0000-0000-000019040000}"/>
    <cellStyle name="20% - Ênfase5 23" xfId="1053" xr:uid="{00000000-0005-0000-0000-00001A040000}"/>
    <cellStyle name="20% - Ênfase5 23 2" xfId="1054" xr:uid="{00000000-0005-0000-0000-00001B040000}"/>
    <cellStyle name="20% - Ênfase5 24" xfId="1055" xr:uid="{00000000-0005-0000-0000-00001C040000}"/>
    <cellStyle name="20% - Ênfase5 24 2" xfId="1056" xr:uid="{00000000-0005-0000-0000-00001D040000}"/>
    <cellStyle name="20% - Ênfase5 25" xfId="1057" xr:uid="{00000000-0005-0000-0000-00001E040000}"/>
    <cellStyle name="20% - Ênfase5 25 2" xfId="1058" xr:uid="{00000000-0005-0000-0000-00001F040000}"/>
    <cellStyle name="20% - Ênfase5 26" xfId="1059" xr:uid="{00000000-0005-0000-0000-000020040000}"/>
    <cellStyle name="20% - Ênfase5 26 2" xfId="1060" xr:uid="{00000000-0005-0000-0000-000021040000}"/>
    <cellStyle name="20% - Ênfase5 27" xfId="1061" xr:uid="{00000000-0005-0000-0000-000022040000}"/>
    <cellStyle name="20% - Ênfase5 27 2" xfId="1062" xr:uid="{00000000-0005-0000-0000-000023040000}"/>
    <cellStyle name="20% - Ênfase5 28" xfId="1063" xr:uid="{00000000-0005-0000-0000-000024040000}"/>
    <cellStyle name="20% - Ênfase5 28 2" xfId="1064" xr:uid="{00000000-0005-0000-0000-000025040000}"/>
    <cellStyle name="20% - Ênfase5 29" xfId="1065" xr:uid="{00000000-0005-0000-0000-000026040000}"/>
    <cellStyle name="20% - Ênfase5 3" xfId="1066" xr:uid="{00000000-0005-0000-0000-000027040000}"/>
    <cellStyle name="20% - Ênfase5 3 2" xfId="1067" xr:uid="{00000000-0005-0000-0000-000028040000}"/>
    <cellStyle name="20% - Ênfase5 3 2 2" xfId="1068" xr:uid="{00000000-0005-0000-0000-000029040000}"/>
    <cellStyle name="20% - Ênfase5 3 2_BD" xfId="1069" xr:uid="{00000000-0005-0000-0000-00002A040000}"/>
    <cellStyle name="20% - Ênfase5 3 3" xfId="1070" xr:uid="{00000000-0005-0000-0000-00002B040000}"/>
    <cellStyle name="20% - Ênfase5 3 3 2" xfId="1071" xr:uid="{00000000-0005-0000-0000-00002C040000}"/>
    <cellStyle name="20% - Ênfase5 3 3_BD" xfId="1072" xr:uid="{00000000-0005-0000-0000-00002D040000}"/>
    <cellStyle name="20% - Ênfase5 3 4" xfId="1073" xr:uid="{00000000-0005-0000-0000-00002E040000}"/>
    <cellStyle name="20% - Ênfase5 30" xfId="1074" xr:uid="{00000000-0005-0000-0000-00002F040000}"/>
    <cellStyle name="20% - Ênfase5 31" xfId="1075" xr:uid="{00000000-0005-0000-0000-000030040000}"/>
    <cellStyle name="20% - Ênfase5 32" xfId="1076" xr:uid="{00000000-0005-0000-0000-000031040000}"/>
    <cellStyle name="20% - Ênfase5 33" xfId="1077" xr:uid="{00000000-0005-0000-0000-000032040000}"/>
    <cellStyle name="20% - Ênfase5 34" xfId="1078" xr:uid="{00000000-0005-0000-0000-000033040000}"/>
    <cellStyle name="20% - Ênfase5 35" xfId="1079" xr:uid="{00000000-0005-0000-0000-000034040000}"/>
    <cellStyle name="20% - Ênfase5 36" xfId="1080" xr:uid="{00000000-0005-0000-0000-000035040000}"/>
    <cellStyle name="20% - Ênfase5 36 2" xfId="1081" xr:uid="{00000000-0005-0000-0000-000036040000}"/>
    <cellStyle name="20% - Ênfase5 36 3" xfId="1082" xr:uid="{00000000-0005-0000-0000-000037040000}"/>
    <cellStyle name="20% - Ênfase5 36 4" xfId="1083" xr:uid="{00000000-0005-0000-0000-000038040000}"/>
    <cellStyle name="20% - Ênfase5 37" xfId="1084" xr:uid="{00000000-0005-0000-0000-000039040000}"/>
    <cellStyle name="20% - Ênfase5 37 2" xfId="1085" xr:uid="{00000000-0005-0000-0000-00003A040000}"/>
    <cellStyle name="20% - Ênfase5 37 3" xfId="1086" xr:uid="{00000000-0005-0000-0000-00003B040000}"/>
    <cellStyle name="20% - Ênfase5 37 4" xfId="1087" xr:uid="{00000000-0005-0000-0000-00003C040000}"/>
    <cellStyle name="20% - Ênfase5 38" xfId="1088" xr:uid="{00000000-0005-0000-0000-00003D040000}"/>
    <cellStyle name="20% - Ênfase5 38 2" xfId="1089" xr:uid="{00000000-0005-0000-0000-00003E040000}"/>
    <cellStyle name="20% - Ênfase5 38 3" xfId="1090" xr:uid="{00000000-0005-0000-0000-00003F040000}"/>
    <cellStyle name="20% - Ênfase5 38 4" xfId="1091" xr:uid="{00000000-0005-0000-0000-000040040000}"/>
    <cellStyle name="20% - Ênfase5 39" xfId="1092" xr:uid="{00000000-0005-0000-0000-000041040000}"/>
    <cellStyle name="20% - Ênfase5 39 2" xfId="1093" xr:uid="{00000000-0005-0000-0000-000042040000}"/>
    <cellStyle name="20% - Ênfase5 39 3" xfId="1094" xr:uid="{00000000-0005-0000-0000-000043040000}"/>
    <cellStyle name="20% - Ênfase5 39 4" xfId="1095" xr:uid="{00000000-0005-0000-0000-000044040000}"/>
    <cellStyle name="20% - Ênfase5 4" xfId="1096" xr:uid="{00000000-0005-0000-0000-000045040000}"/>
    <cellStyle name="20% - Ênfase5 4 2" xfId="1097" xr:uid="{00000000-0005-0000-0000-000046040000}"/>
    <cellStyle name="20% - Ênfase5 4 2 2" xfId="1098" xr:uid="{00000000-0005-0000-0000-000047040000}"/>
    <cellStyle name="20% - Ênfase5 4 2_BD" xfId="1099" xr:uid="{00000000-0005-0000-0000-000048040000}"/>
    <cellStyle name="20% - Ênfase5 4 3" xfId="1100" xr:uid="{00000000-0005-0000-0000-000049040000}"/>
    <cellStyle name="20% - Ênfase5 4 3 2" xfId="1101" xr:uid="{00000000-0005-0000-0000-00004A040000}"/>
    <cellStyle name="20% - Ênfase5 4 3_BD" xfId="1102" xr:uid="{00000000-0005-0000-0000-00004B040000}"/>
    <cellStyle name="20% - Ênfase5 4 4" xfId="1103" xr:uid="{00000000-0005-0000-0000-00004C040000}"/>
    <cellStyle name="20% - Ênfase5 40" xfId="1104" xr:uid="{00000000-0005-0000-0000-00004D040000}"/>
    <cellStyle name="20% - Ênfase5 40 2" xfId="1105" xr:uid="{00000000-0005-0000-0000-00004E040000}"/>
    <cellStyle name="20% - Ênfase5 41" xfId="1106" xr:uid="{00000000-0005-0000-0000-00004F040000}"/>
    <cellStyle name="20% - Ênfase5 42" xfId="1107" xr:uid="{00000000-0005-0000-0000-000050040000}"/>
    <cellStyle name="20% - Ênfase5 43" xfId="1108" xr:uid="{00000000-0005-0000-0000-000051040000}"/>
    <cellStyle name="20% - Ênfase5 44" xfId="1109" xr:uid="{00000000-0005-0000-0000-000052040000}"/>
    <cellStyle name="20% - Ênfase5 45" xfId="1110" xr:uid="{00000000-0005-0000-0000-000053040000}"/>
    <cellStyle name="20% - Ênfase5 46" xfId="1111" xr:uid="{00000000-0005-0000-0000-000054040000}"/>
    <cellStyle name="20% - Ênfase5 47" xfId="1112" xr:uid="{00000000-0005-0000-0000-000055040000}"/>
    <cellStyle name="20% - Ênfase5 48" xfId="1113" xr:uid="{00000000-0005-0000-0000-000056040000}"/>
    <cellStyle name="20% - Ênfase5 49" xfId="1114" xr:uid="{00000000-0005-0000-0000-000057040000}"/>
    <cellStyle name="20% - Ênfase5 5" xfId="1115" xr:uid="{00000000-0005-0000-0000-000058040000}"/>
    <cellStyle name="20% - Ênfase5 5 2" xfId="1116" xr:uid="{00000000-0005-0000-0000-000059040000}"/>
    <cellStyle name="20% - Ênfase5 5 2 2" xfId="1117" xr:uid="{00000000-0005-0000-0000-00005A040000}"/>
    <cellStyle name="20% - Ênfase5 5 2_BD" xfId="1118" xr:uid="{00000000-0005-0000-0000-00005B040000}"/>
    <cellStyle name="20% - Ênfase5 5 3" xfId="1119" xr:uid="{00000000-0005-0000-0000-00005C040000}"/>
    <cellStyle name="20% - Ênfase5 5 3 2" xfId="1120" xr:uid="{00000000-0005-0000-0000-00005D040000}"/>
    <cellStyle name="20% - Ênfase5 5 4" xfId="1121" xr:uid="{00000000-0005-0000-0000-00005E040000}"/>
    <cellStyle name="20% - Ênfase5 50" xfId="1122" xr:uid="{00000000-0005-0000-0000-00005F040000}"/>
    <cellStyle name="20% - Ênfase5 51" xfId="1123" xr:uid="{00000000-0005-0000-0000-000060040000}"/>
    <cellStyle name="20% - Ênfase5 52" xfId="1124" xr:uid="{00000000-0005-0000-0000-000061040000}"/>
    <cellStyle name="20% - Ênfase5 53" xfId="1125" xr:uid="{00000000-0005-0000-0000-000062040000}"/>
    <cellStyle name="20% - Ênfase5 54" xfId="1126" xr:uid="{00000000-0005-0000-0000-000063040000}"/>
    <cellStyle name="20% - Ênfase5 55" xfId="1127" xr:uid="{00000000-0005-0000-0000-000064040000}"/>
    <cellStyle name="20% - Ênfase5 56" xfId="1128" xr:uid="{00000000-0005-0000-0000-000065040000}"/>
    <cellStyle name="20% - Ênfase5 57" xfId="1129" xr:uid="{00000000-0005-0000-0000-000066040000}"/>
    <cellStyle name="20% - Ênfase5 58" xfId="1130" xr:uid="{00000000-0005-0000-0000-000067040000}"/>
    <cellStyle name="20% - Ênfase5 59" xfId="1131" xr:uid="{00000000-0005-0000-0000-000068040000}"/>
    <cellStyle name="20% - Ênfase5 6" xfId="1132" xr:uid="{00000000-0005-0000-0000-000069040000}"/>
    <cellStyle name="20% - Ênfase5 6 2" xfId="1133" xr:uid="{00000000-0005-0000-0000-00006A040000}"/>
    <cellStyle name="20% - Ênfase5 6 2 2" xfId="1134" xr:uid="{00000000-0005-0000-0000-00006B040000}"/>
    <cellStyle name="20% - Ênfase5 6 2_BD" xfId="1135" xr:uid="{00000000-0005-0000-0000-00006C040000}"/>
    <cellStyle name="20% - Ênfase5 6 3" xfId="1136" xr:uid="{00000000-0005-0000-0000-00006D040000}"/>
    <cellStyle name="20% - Ênfase5 6 3 2" xfId="1137" xr:uid="{00000000-0005-0000-0000-00006E040000}"/>
    <cellStyle name="20% - Ênfase5 6 4" xfId="1138" xr:uid="{00000000-0005-0000-0000-00006F040000}"/>
    <cellStyle name="20% - Ênfase5 60" xfId="1139" xr:uid="{00000000-0005-0000-0000-000070040000}"/>
    <cellStyle name="20% - Ênfase5 61" xfId="1140" xr:uid="{00000000-0005-0000-0000-000071040000}"/>
    <cellStyle name="20% - Ênfase5 62" xfId="1141" xr:uid="{00000000-0005-0000-0000-000072040000}"/>
    <cellStyle name="20% - Ênfase5 63" xfId="1142" xr:uid="{00000000-0005-0000-0000-000073040000}"/>
    <cellStyle name="20% - Ênfase5 64" xfId="1143" xr:uid="{00000000-0005-0000-0000-000074040000}"/>
    <cellStyle name="20% - Ênfase5 65" xfId="1144" xr:uid="{00000000-0005-0000-0000-000075040000}"/>
    <cellStyle name="20% - Ênfase5 66" xfId="1145" xr:uid="{00000000-0005-0000-0000-000076040000}"/>
    <cellStyle name="20% - Ênfase5 67" xfId="1146" xr:uid="{00000000-0005-0000-0000-000077040000}"/>
    <cellStyle name="20% - Ênfase5 68" xfId="1147" xr:uid="{00000000-0005-0000-0000-000078040000}"/>
    <cellStyle name="20% - Ênfase5 69" xfId="1148" xr:uid="{00000000-0005-0000-0000-000079040000}"/>
    <cellStyle name="20% - Ênfase5 7" xfId="1149" xr:uid="{00000000-0005-0000-0000-00007A040000}"/>
    <cellStyle name="20% - Ênfase5 7 2" xfId="1150" xr:uid="{00000000-0005-0000-0000-00007B040000}"/>
    <cellStyle name="20% - Ênfase5 7 2 2" xfId="1151" xr:uid="{00000000-0005-0000-0000-00007C040000}"/>
    <cellStyle name="20% - Ênfase5 7 2_BD" xfId="1152" xr:uid="{00000000-0005-0000-0000-00007D040000}"/>
    <cellStyle name="20% - Ênfase5 7 3" xfId="1153" xr:uid="{00000000-0005-0000-0000-00007E040000}"/>
    <cellStyle name="20% - Ênfase5 7 3 2" xfId="1154" xr:uid="{00000000-0005-0000-0000-00007F040000}"/>
    <cellStyle name="20% - Ênfase5 7 4" xfId="1155" xr:uid="{00000000-0005-0000-0000-000080040000}"/>
    <cellStyle name="20% - Ênfase5 70" xfId="1156" xr:uid="{00000000-0005-0000-0000-000081040000}"/>
    <cellStyle name="20% - Ênfase5 71" xfId="1157" xr:uid="{00000000-0005-0000-0000-000082040000}"/>
    <cellStyle name="20% - Ênfase5 72" xfId="1158" xr:uid="{00000000-0005-0000-0000-000083040000}"/>
    <cellStyle name="20% - Ênfase5 73" xfId="1159" xr:uid="{00000000-0005-0000-0000-000084040000}"/>
    <cellStyle name="20% - Ênfase5 74" xfId="1160" xr:uid="{00000000-0005-0000-0000-000085040000}"/>
    <cellStyle name="20% - Ênfase5 75" xfId="1161" xr:uid="{00000000-0005-0000-0000-000086040000}"/>
    <cellStyle name="20% - Ênfase5 76" xfId="1162" xr:uid="{00000000-0005-0000-0000-000087040000}"/>
    <cellStyle name="20% - Ênfase5 77" xfId="1163" xr:uid="{00000000-0005-0000-0000-000088040000}"/>
    <cellStyle name="20% - Ênfase5 78" xfId="1164" xr:uid="{00000000-0005-0000-0000-000089040000}"/>
    <cellStyle name="20% - Ênfase5 79" xfId="1165" xr:uid="{00000000-0005-0000-0000-00008A040000}"/>
    <cellStyle name="20% - Ênfase5 8" xfId="1166" xr:uid="{00000000-0005-0000-0000-00008B040000}"/>
    <cellStyle name="20% - Ênfase5 8 2" xfId="1167" xr:uid="{00000000-0005-0000-0000-00008C040000}"/>
    <cellStyle name="20% - Ênfase5 8 2 2" xfId="1168" xr:uid="{00000000-0005-0000-0000-00008D040000}"/>
    <cellStyle name="20% - Ênfase5 8 3" xfId="1169" xr:uid="{00000000-0005-0000-0000-00008E040000}"/>
    <cellStyle name="20% - Ênfase5 8 3 2" xfId="1170" xr:uid="{00000000-0005-0000-0000-00008F040000}"/>
    <cellStyle name="20% - Ênfase5 8 4" xfId="1171" xr:uid="{00000000-0005-0000-0000-000090040000}"/>
    <cellStyle name="20% - Ênfase5 80" xfId="1172" xr:uid="{00000000-0005-0000-0000-000091040000}"/>
    <cellStyle name="20% - Ênfase5 81" xfId="1173" xr:uid="{00000000-0005-0000-0000-000092040000}"/>
    <cellStyle name="20% - Ênfase5 82" xfId="1174" xr:uid="{00000000-0005-0000-0000-000093040000}"/>
    <cellStyle name="20% - Ênfase5 83" xfId="1175" xr:uid="{00000000-0005-0000-0000-000094040000}"/>
    <cellStyle name="20% - Ênfase5 84" xfId="1176" xr:uid="{00000000-0005-0000-0000-000095040000}"/>
    <cellStyle name="20% - Ênfase5 85" xfId="1177" xr:uid="{00000000-0005-0000-0000-000096040000}"/>
    <cellStyle name="20% - Ênfase5 86" xfId="1178" xr:uid="{00000000-0005-0000-0000-000097040000}"/>
    <cellStyle name="20% - Ênfase5 87" xfId="1179" xr:uid="{00000000-0005-0000-0000-000098040000}"/>
    <cellStyle name="20% - Ênfase5 88" xfId="1180" xr:uid="{00000000-0005-0000-0000-000099040000}"/>
    <cellStyle name="20% - Ênfase5 89" xfId="1181" xr:uid="{00000000-0005-0000-0000-00009A040000}"/>
    <cellStyle name="20% - Ênfase5 9" xfId="1182" xr:uid="{00000000-0005-0000-0000-00009B040000}"/>
    <cellStyle name="20% - Ênfase5 9 2" xfId="1183" xr:uid="{00000000-0005-0000-0000-00009C040000}"/>
    <cellStyle name="20% - Ênfase5 9 2 2" xfId="1184" xr:uid="{00000000-0005-0000-0000-00009D040000}"/>
    <cellStyle name="20% - Ênfase5 9 3" xfId="1185" xr:uid="{00000000-0005-0000-0000-00009E040000}"/>
    <cellStyle name="20% - Ênfase5 9 3 2" xfId="1186" xr:uid="{00000000-0005-0000-0000-00009F040000}"/>
    <cellStyle name="20% - Ênfase5 9 4" xfId="1187" xr:uid="{00000000-0005-0000-0000-0000A0040000}"/>
    <cellStyle name="20% - Ênfase5 90" xfId="1188" xr:uid="{00000000-0005-0000-0000-0000A1040000}"/>
    <cellStyle name="20% - Ênfase5 91" xfId="1189" xr:uid="{00000000-0005-0000-0000-0000A2040000}"/>
    <cellStyle name="20% - Ênfase5 92" xfId="1190" xr:uid="{00000000-0005-0000-0000-0000A3040000}"/>
    <cellStyle name="20% - Ênfase5 93" xfId="1191" xr:uid="{00000000-0005-0000-0000-0000A4040000}"/>
    <cellStyle name="20% - Ênfase5 94" xfId="1192" xr:uid="{00000000-0005-0000-0000-0000A5040000}"/>
    <cellStyle name="20% - Ênfase5 95" xfId="1193" xr:uid="{00000000-0005-0000-0000-0000A6040000}"/>
    <cellStyle name="20% - Ênfase5 96" xfId="1194" xr:uid="{00000000-0005-0000-0000-0000A7040000}"/>
    <cellStyle name="20% - Ênfase5 97" xfId="1195" xr:uid="{00000000-0005-0000-0000-0000A8040000}"/>
    <cellStyle name="20% - Ênfase5 98" xfId="1196" xr:uid="{00000000-0005-0000-0000-0000A9040000}"/>
    <cellStyle name="20% - Ênfase5 99" xfId="1197" xr:uid="{00000000-0005-0000-0000-0000AA040000}"/>
    <cellStyle name="20% - Ênfase6 10" xfId="1198" xr:uid="{00000000-0005-0000-0000-0000AB040000}"/>
    <cellStyle name="20% - Ênfase6 10 2" xfId="1199" xr:uid="{00000000-0005-0000-0000-0000AC040000}"/>
    <cellStyle name="20% - Ênfase6 10 2 2" xfId="1200" xr:uid="{00000000-0005-0000-0000-0000AD040000}"/>
    <cellStyle name="20% - Ênfase6 10 3" xfId="1201" xr:uid="{00000000-0005-0000-0000-0000AE040000}"/>
    <cellStyle name="20% - Ênfase6 10 3 2" xfId="1202" xr:uid="{00000000-0005-0000-0000-0000AF040000}"/>
    <cellStyle name="20% - Ênfase6 10 4" xfId="1203" xr:uid="{00000000-0005-0000-0000-0000B0040000}"/>
    <cellStyle name="20% - Ênfase6 100" xfId="1204" xr:uid="{00000000-0005-0000-0000-0000B1040000}"/>
    <cellStyle name="20% - Ênfase6 101" xfId="1205" xr:uid="{00000000-0005-0000-0000-0000B2040000}"/>
    <cellStyle name="20% - Ênfase6 102" xfId="1206" xr:uid="{00000000-0005-0000-0000-0000B3040000}"/>
    <cellStyle name="20% - Ênfase6 103" xfId="1207" xr:uid="{00000000-0005-0000-0000-0000B4040000}"/>
    <cellStyle name="20% - Ênfase6 104" xfId="1208" xr:uid="{00000000-0005-0000-0000-0000B5040000}"/>
    <cellStyle name="20% - Ênfase6 105" xfId="1209" xr:uid="{00000000-0005-0000-0000-0000B6040000}"/>
    <cellStyle name="20% - Ênfase6 106" xfId="1210" xr:uid="{00000000-0005-0000-0000-0000B7040000}"/>
    <cellStyle name="20% - Ênfase6 107" xfId="1211" xr:uid="{00000000-0005-0000-0000-0000B8040000}"/>
    <cellStyle name="20% - Ênfase6 108" xfId="1212" xr:uid="{00000000-0005-0000-0000-0000B9040000}"/>
    <cellStyle name="20% - Ênfase6 109" xfId="1213" xr:uid="{00000000-0005-0000-0000-0000BA040000}"/>
    <cellStyle name="20% - Ênfase6 11" xfId="1214" xr:uid="{00000000-0005-0000-0000-0000BB040000}"/>
    <cellStyle name="20% - Ênfase6 11 2" xfId="1215" xr:uid="{00000000-0005-0000-0000-0000BC040000}"/>
    <cellStyle name="20% - Ênfase6 11 2 2" xfId="1216" xr:uid="{00000000-0005-0000-0000-0000BD040000}"/>
    <cellStyle name="20% - Ênfase6 11 3" xfId="1217" xr:uid="{00000000-0005-0000-0000-0000BE040000}"/>
    <cellStyle name="20% - Ênfase6 11 3 2" xfId="1218" xr:uid="{00000000-0005-0000-0000-0000BF040000}"/>
    <cellStyle name="20% - Ênfase6 11 4" xfId="1219" xr:uid="{00000000-0005-0000-0000-0000C0040000}"/>
    <cellStyle name="20% - Ênfase6 110" xfId="1220" xr:uid="{00000000-0005-0000-0000-0000C1040000}"/>
    <cellStyle name="20% - Ênfase6 111" xfId="1221" xr:uid="{00000000-0005-0000-0000-0000C2040000}"/>
    <cellStyle name="20% - Ênfase6 112" xfId="1222" xr:uid="{00000000-0005-0000-0000-0000C3040000}"/>
    <cellStyle name="20% - Ênfase6 113" xfId="1223" xr:uid="{00000000-0005-0000-0000-0000C4040000}"/>
    <cellStyle name="20% - Ênfase6 114" xfId="1224" xr:uid="{00000000-0005-0000-0000-0000C5040000}"/>
    <cellStyle name="20% - Ênfase6 115" xfId="1225" xr:uid="{00000000-0005-0000-0000-0000C6040000}"/>
    <cellStyle name="20% - Ênfase6 116" xfId="1226" xr:uid="{00000000-0005-0000-0000-0000C7040000}"/>
    <cellStyle name="20% - Ênfase6 117" xfId="1227" xr:uid="{00000000-0005-0000-0000-0000C8040000}"/>
    <cellStyle name="20% - Ênfase6 118" xfId="1228" xr:uid="{00000000-0005-0000-0000-0000C9040000}"/>
    <cellStyle name="20% - Ênfase6 119" xfId="1229" xr:uid="{00000000-0005-0000-0000-0000CA040000}"/>
    <cellStyle name="20% - Ênfase6 12" xfId="1230" xr:uid="{00000000-0005-0000-0000-0000CB040000}"/>
    <cellStyle name="20% - Ênfase6 12 2" xfId="1231" xr:uid="{00000000-0005-0000-0000-0000CC040000}"/>
    <cellStyle name="20% - Ênfase6 12 2 2" xfId="1232" xr:uid="{00000000-0005-0000-0000-0000CD040000}"/>
    <cellStyle name="20% - Ênfase6 12 3" xfId="1233" xr:uid="{00000000-0005-0000-0000-0000CE040000}"/>
    <cellStyle name="20% - Ênfase6 12 3 2" xfId="1234" xr:uid="{00000000-0005-0000-0000-0000CF040000}"/>
    <cellStyle name="20% - Ênfase6 12 4" xfId="1235" xr:uid="{00000000-0005-0000-0000-0000D0040000}"/>
    <cellStyle name="20% - Ênfase6 120" xfId="1236" xr:uid="{00000000-0005-0000-0000-0000D1040000}"/>
    <cellStyle name="20% - Ênfase6 13" xfId="1237" xr:uid="{00000000-0005-0000-0000-0000D2040000}"/>
    <cellStyle name="20% - Ênfase6 13 2" xfId="1238" xr:uid="{00000000-0005-0000-0000-0000D3040000}"/>
    <cellStyle name="20% - Ênfase6 13 2 2" xfId="1239" xr:uid="{00000000-0005-0000-0000-0000D4040000}"/>
    <cellStyle name="20% - Ênfase6 13 3" xfId="1240" xr:uid="{00000000-0005-0000-0000-0000D5040000}"/>
    <cellStyle name="20% - Ênfase6 13 3 2" xfId="1241" xr:uid="{00000000-0005-0000-0000-0000D6040000}"/>
    <cellStyle name="20% - Ênfase6 13 4" xfId="1242" xr:uid="{00000000-0005-0000-0000-0000D7040000}"/>
    <cellStyle name="20% - Ênfase6 14" xfId="1243" xr:uid="{00000000-0005-0000-0000-0000D8040000}"/>
    <cellStyle name="20% - Ênfase6 14 2" xfId="1244" xr:uid="{00000000-0005-0000-0000-0000D9040000}"/>
    <cellStyle name="20% - Ênfase6 14 2 2" xfId="1245" xr:uid="{00000000-0005-0000-0000-0000DA040000}"/>
    <cellStyle name="20% - Ênfase6 14 3" xfId="1246" xr:uid="{00000000-0005-0000-0000-0000DB040000}"/>
    <cellStyle name="20% - Ênfase6 14 3 2" xfId="1247" xr:uid="{00000000-0005-0000-0000-0000DC040000}"/>
    <cellStyle name="20% - Ênfase6 14 4" xfId="1248" xr:uid="{00000000-0005-0000-0000-0000DD040000}"/>
    <cellStyle name="20% - Ênfase6 15" xfId="1249" xr:uid="{00000000-0005-0000-0000-0000DE040000}"/>
    <cellStyle name="20% - Ênfase6 15 2" xfId="1250" xr:uid="{00000000-0005-0000-0000-0000DF040000}"/>
    <cellStyle name="20% - Ênfase6 16" xfId="1251" xr:uid="{00000000-0005-0000-0000-0000E0040000}"/>
    <cellStyle name="20% - Ênfase6 16 2" xfId="1252" xr:uid="{00000000-0005-0000-0000-0000E1040000}"/>
    <cellStyle name="20% - Ênfase6 17" xfId="1253" xr:uid="{00000000-0005-0000-0000-0000E2040000}"/>
    <cellStyle name="20% - Ênfase6 17 2" xfId="1254" xr:uid="{00000000-0005-0000-0000-0000E3040000}"/>
    <cellStyle name="20% - Ênfase6 18" xfId="1255" xr:uid="{00000000-0005-0000-0000-0000E4040000}"/>
    <cellStyle name="20% - Ênfase6 18 2" xfId="1256" xr:uid="{00000000-0005-0000-0000-0000E5040000}"/>
    <cellStyle name="20% - Ênfase6 19" xfId="1257" xr:uid="{00000000-0005-0000-0000-0000E6040000}"/>
    <cellStyle name="20% - Ênfase6 19 2" xfId="1258" xr:uid="{00000000-0005-0000-0000-0000E7040000}"/>
    <cellStyle name="20% - Ênfase6 2" xfId="1259" xr:uid="{00000000-0005-0000-0000-0000E8040000}"/>
    <cellStyle name="20% - Ênfase6 2 2" xfId="1260" xr:uid="{00000000-0005-0000-0000-0000E9040000}"/>
    <cellStyle name="20% - Ênfase6 2 2 2" xfId="1261" xr:uid="{00000000-0005-0000-0000-0000EA040000}"/>
    <cellStyle name="20% - Ênfase6 2 2 2 2" xfId="1262" xr:uid="{00000000-0005-0000-0000-0000EB040000}"/>
    <cellStyle name="20% - Ênfase6 2 2 2 2 2" xfId="1263" xr:uid="{00000000-0005-0000-0000-0000EC040000}"/>
    <cellStyle name="20% - Ênfase6 2 2 2 2 2 2" xfId="1264" xr:uid="{00000000-0005-0000-0000-0000ED040000}"/>
    <cellStyle name="20% - Ênfase6 2 2 2 2 2 2 2" xfId="1265" xr:uid="{00000000-0005-0000-0000-0000EE040000}"/>
    <cellStyle name="20% - Ênfase6 2 2 2 2 2 3" xfId="1266" xr:uid="{00000000-0005-0000-0000-0000EF040000}"/>
    <cellStyle name="20% - Ênfase6 2 2 2 2 3" xfId="1267" xr:uid="{00000000-0005-0000-0000-0000F0040000}"/>
    <cellStyle name="20% - Ênfase6 2 2 2 2 3 2" xfId="1268" xr:uid="{00000000-0005-0000-0000-0000F1040000}"/>
    <cellStyle name="20% - Ênfase6 2 2 2 3" xfId="1269" xr:uid="{00000000-0005-0000-0000-0000F2040000}"/>
    <cellStyle name="20% - Ênfase6 2 2 2 3 2" xfId="1270" xr:uid="{00000000-0005-0000-0000-0000F3040000}"/>
    <cellStyle name="20% - Ênfase6 2 2 2_BD" xfId="1271" xr:uid="{00000000-0005-0000-0000-0000F4040000}"/>
    <cellStyle name="20% - Ênfase6 2 2 3" xfId="1272" xr:uid="{00000000-0005-0000-0000-0000F5040000}"/>
    <cellStyle name="20% - Ênfase6 2 2 3 2" xfId="1273" xr:uid="{00000000-0005-0000-0000-0000F6040000}"/>
    <cellStyle name="20% - Ênfase6 2 2 4" xfId="1274" xr:uid="{00000000-0005-0000-0000-0000F7040000}"/>
    <cellStyle name="20% - Ênfase6 2 2 5" xfId="1275" xr:uid="{00000000-0005-0000-0000-0000F8040000}"/>
    <cellStyle name="20% - Ênfase6 2 2 5 2" xfId="1276" xr:uid="{00000000-0005-0000-0000-0000F9040000}"/>
    <cellStyle name="20% - Ênfase6 2 2_BD" xfId="1277" xr:uid="{00000000-0005-0000-0000-0000FA040000}"/>
    <cellStyle name="20% - Ênfase6 2 3" xfId="1278" xr:uid="{00000000-0005-0000-0000-0000FB040000}"/>
    <cellStyle name="20% - Ênfase6 2 3 2" xfId="1279" xr:uid="{00000000-0005-0000-0000-0000FC040000}"/>
    <cellStyle name="20% - Ênfase6 2 3_BD" xfId="1280" xr:uid="{00000000-0005-0000-0000-0000FD040000}"/>
    <cellStyle name="20% - Ênfase6 2 4" xfId="1281" xr:uid="{00000000-0005-0000-0000-0000FE040000}"/>
    <cellStyle name="20% - Ênfase6 2 5" xfId="1282" xr:uid="{00000000-0005-0000-0000-0000FF040000}"/>
    <cellStyle name="20% - Ênfase6 2 6" xfId="1283" xr:uid="{00000000-0005-0000-0000-000000050000}"/>
    <cellStyle name="20% - Ênfase6 2 6 2" xfId="1284" xr:uid="{00000000-0005-0000-0000-000001050000}"/>
    <cellStyle name="20% - Ênfase6 2_BD" xfId="1285" xr:uid="{00000000-0005-0000-0000-000002050000}"/>
    <cellStyle name="20% - Ênfase6 20" xfId="1286" xr:uid="{00000000-0005-0000-0000-000003050000}"/>
    <cellStyle name="20% - Ênfase6 20 2" xfId="1287" xr:uid="{00000000-0005-0000-0000-000004050000}"/>
    <cellStyle name="20% - Ênfase6 21" xfId="1288" xr:uid="{00000000-0005-0000-0000-000005050000}"/>
    <cellStyle name="20% - Ênfase6 21 2" xfId="1289" xr:uid="{00000000-0005-0000-0000-000006050000}"/>
    <cellStyle name="20% - Ênfase6 22" xfId="1290" xr:uid="{00000000-0005-0000-0000-000007050000}"/>
    <cellStyle name="20% - Ênfase6 22 2" xfId="1291" xr:uid="{00000000-0005-0000-0000-000008050000}"/>
    <cellStyle name="20% - Ênfase6 23" xfId="1292" xr:uid="{00000000-0005-0000-0000-000009050000}"/>
    <cellStyle name="20% - Ênfase6 23 2" xfId="1293" xr:uid="{00000000-0005-0000-0000-00000A050000}"/>
    <cellStyle name="20% - Ênfase6 24" xfId="1294" xr:uid="{00000000-0005-0000-0000-00000B050000}"/>
    <cellStyle name="20% - Ênfase6 24 2" xfId="1295" xr:uid="{00000000-0005-0000-0000-00000C050000}"/>
    <cellStyle name="20% - Ênfase6 25" xfId="1296" xr:uid="{00000000-0005-0000-0000-00000D050000}"/>
    <cellStyle name="20% - Ênfase6 25 2" xfId="1297" xr:uid="{00000000-0005-0000-0000-00000E050000}"/>
    <cellStyle name="20% - Ênfase6 26" xfId="1298" xr:uid="{00000000-0005-0000-0000-00000F050000}"/>
    <cellStyle name="20% - Ênfase6 26 2" xfId="1299" xr:uid="{00000000-0005-0000-0000-000010050000}"/>
    <cellStyle name="20% - Ênfase6 27" xfId="1300" xr:uid="{00000000-0005-0000-0000-000011050000}"/>
    <cellStyle name="20% - Ênfase6 27 2" xfId="1301" xr:uid="{00000000-0005-0000-0000-000012050000}"/>
    <cellStyle name="20% - Ênfase6 28" xfId="1302" xr:uid="{00000000-0005-0000-0000-000013050000}"/>
    <cellStyle name="20% - Ênfase6 28 2" xfId="1303" xr:uid="{00000000-0005-0000-0000-000014050000}"/>
    <cellStyle name="20% - Ênfase6 29" xfId="1304" xr:uid="{00000000-0005-0000-0000-000015050000}"/>
    <cellStyle name="20% - Ênfase6 3" xfId="1305" xr:uid="{00000000-0005-0000-0000-000016050000}"/>
    <cellStyle name="20% - Ênfase6 3 2" xfId="1306" xr:uid="{00000000-0005-0000-0000-000017050000}"/>
    <cellStyle name="20% - Ênfase6 3 2 2" xfId="1307" xr:uid="{00000000-0005-0000-0000-000018050000}"/>
    <cellStyle name="20% - Ênfase6 3 2_BD" xfId="1308" xr:uid="{00000000-0005-0000-0000-000019050000}"/>
    <cellStyle name="20% - Ênfase6 3 3" xfId="1309" xr:uid="{00000000-0005-0000-0000-00001A050000}"/>
    <cellStyle name="20% - Ênfase6 3 3 2" xfId="1310" xr:uid="{00000000-0005-0000-0000-00001B050000}"/>
    <cellStyle name="20% - Ênfase6 3 3_BD" xfId="1311" xr:uid="{00000000-0005-0000-0000-00001C050000}"/>
    <cellStyle name="20% - Ênfase6 3 4" xfId="1312" xr:uid="{00000000-0005-0000-0000-00001D050000}"/>
    <cellStyle name="20% - Ênfase6 30" xfId="1313" xr:uid="{00000000-0005-0000-0000-00001E050000}"/>
    <cellStyle name="20% - Ênfase6 31" xfId="1314" xr:uid="{00000000-0005-0000-0000-00001F050000}"/>
    <cellStyle name="20% - Ênfase6 32" xfId="1315" xr:uid="{00000000-0005-0000-0000-000020050000}"/>
    <cellStyle name="20% - Ênfase6 33" xfId="1316" xr:uid="{00000000-0005-0000-0000-000021050000}"/>
    <cellStyle name="20% - Ênfase6 34" xfId="1317" xr:uid="{00000000-0005-0000-0000-000022050000}"/>
    <cellStyle name="20% - Ênfase6 35" xfId="1318" xr:uid="{00000000-0005-0000-0000-000023050000}"/>
    <cellStyle name="20% - Ênfase6 36" xfId="1319" xr:uid="{00000000-0005-0000-0000-000024050000}"/>
    <cellStyle name="20% - Ênfase6 36 2" xfId="1320" xr:uid="{00000000-0005-0000-0000-000025050000}"/>
    <cellStyle name="20% - Ênfase6 36 3" xfId="1321" xr:uid="{00000000-0005-0000-0000-000026050000}"/>
    <cellStyle name="20% - Ênfase6 36 4" xfId="1322" xr:uid="{00000000-0005-0000-0000-000027050000}"/>
    <cellStyle name="20% - Ênfase6 37" xfId="1323" xr:uid="{00000000-0005-0000-0000-000028050000}"/>
    <cellStyle name="20% - Ênfase6 37 2" xfId="1324" xr:uid="{00000000-0005-0000-0000-000029050000}"/>
    <cellStyle name="20% - Ênfase6 37 3" xfId="1325" xr:uid="{00000000-0005-0000-0000-00002A050000}"/>
    <cellStyle name="20% - Ênfase6 37 4" xfId="1326" xr:uid="{00000000-0005-0000-0000-00002B050000}"/>
    <cellStyle name="20% - Ênfase6 38" xfId="1327" xr:uid="{00000000-0005-0000-0000-00002C050000}"/>
    <cellStyle name="20% - Ênfase6 38 2" xfId="1328" xr:uid="{00000000-0005-0000-0000-00002D050000}"/>
    <cellStyle name="20% - Ênfase6 38 3" xfId="1329" xr:uid="{00000000-0005-0000-0000-00002E050000}"/>
    <cellStyle name="20% - Ênfase6 38 4" xfId="1330" xr:uid="{00000000-0005-0000-0000-00002F050000}"/>
    <cellStyle name="20% - Ênfase6 39" xfId="1331" xr:uid="{00000000-0005-0000-0000-000030050000}"/>
    <cellStyle name="20% - Ênfase6 39 2" xfId="1332" xr:uid="{00000000-0005-0000-0000-000031050000}"/>
    <cellStyle name="20% - Ênfase6 39 3" xfId="1333" xr:uid="{00000000-0005-0000-0000-000032050000}"/>
    <cellStyle name="20% - Ênfase6 39 4" xfId="1334" xr:uid="{00000000-0005-0000-0000-000033050000}"/>
    <cellStyle name="20% - Ênfase6 4" xfId="1335" xr:uid="{00000000-0005-0000-0000-000034050000}"/>
    <cellStyle name="20% - Ênfase6 4 2" xfId="1336" xr:uid="{00000000-0005-0000-0000-000035050000}"/>
    <cellStyle name="20% - Ênfase6 4 2 2" xfId="1337" xr:uid="{00000000-0005-0000-0000-000036050000}"/>
    <cellStyle name="20% - Ênfase6 4 2_BD" xfId="1338" xr:uid="{00000000-0005-0000-0000-000037050000}"/>
    <cellStyle name="20% - Ênfase6 4 3" xfId="1339" xr:uid="{00000000-0005-0000-0000-000038050000}"/>
    <cellStyle name="20% - Ênfase6 4 3 2" xfId="1340" xr:uid="{00000000-0005-0000-0000-000039050000}"/>
    <cellStyle name="20% - Ênfase6 4 3_BD" xfId="1341" xr:uid="{00000000-0005-0000-0000-00003A050000}"/>
    <cellStyle name="20% - Ênfase6 4 4" xfId="1342" xr:uid="{00000000-0005-0000-0000-00003B050000}"/>
    <cellStyle name="20% - Ênfase6 40" xfId="1343" xr:uid="{00000000-0005-0000-0000-00003C050000}"/>
    <cellStyle name="20% - Ênfase6 40 2" xfId="1344" xr:uid="{00000000-0005-0000-0000-00003D050000}"/>
    <cellStyle name="20% - Ênfase6 41" xfId="1345" xr:uid="{00000000-0005-0000-0000-00003E050000}"/>
    <cellStyle name="20% - Ênfase6 42" xfId="1346" xr:uid="{00000000-0005-0000-0000-00003F050000}"/>
    <cellStyle name="20% - Ênfase6 43" xfId="1347" xr:uid="{00000000-0005-0000-0000-000040050000}"/>
    <cellStyle name="20% - Ênfase6 44" xfId="1348" xr:uid="{00000000-0005-0000-0000-000041050000}"/>
    <cellStyle name="20% - Ênfase6 45" xfId="1349" xr:uid="{00000000-0005-0000-0000-000042050000}"/>
    <cellStyle name="20% - Ênfase6 46" xfId="1350" xr:uid="{00000000-0005-0000-0000-000043050000}"/>
    <cellStyle name="20% - Ênfase6 47" xfId="1351" xr:uid="{00000000-0005-0000-0000-000044050000}"/>
    <cellStyle name="20% - Ênfase6 48" xfId="1352" xr:uid="{00000000-0005-0000-0000-000045050000}"/>
    <cellStyle name="20% - Ênfase6 49" xfId="1353" xr:uid="{00000000-0005-0000-0000-000046050000}"/>
    <cellStyle name="20% - Ênfase6 5" xfId="1354" xr:uid="{00000000-0005-0000-0000-000047050000}"/>
    <cellStyle name="20% - Ênfase6 5 2" xfId="1355" xr:uid="{00000000-0005-0000-0000-000048050000}"/>
    <cellStyle name="20% - Ênfase6 5 2 2" xfId="1356" xr:uid="{00000000-0005-0000-0000-000049050000}"/>
    <cellStyle name="20% - Ênfase6 5 2_BD" xfId="1357" xr:uid="{00000000-0005-0000-0000-00004A050000}"/>
    <cellStyle name="20% - Ênfase6 5 3" xfId="1358" xr:uid="{00000000-0005-0000-0000-00004B050000}"/>
    <cellStyle name="20% - Ênfase6 5 3 2" xfId="1359" xr:uid="{00000000-0005-0000-0000-00004C050000}"/>
    <cellStyle name="20% - Ênfase6 5 4" xfId="1360" xr:uid="{00000000-0005-0000-0000-00004D050000}"/>
    <cellStyle name="20% - Ênfase6 50" xfId="1361" xr:uid="{00000000-0005-0000-0000-00004E050000}"/>
    <cellStyle name="20% - Ênfase6 51" xfId="1362" xr:uid="{00000000-0005-0000-0000-00004F050000}"/>
    <cellStyle name="20% - Ênfase6 52" xfId="1363" xr:uid="{00000000-0005-0000-0000-000050050000}"/>
    <cellStyle name="20% - Ênfase6 53" xfId="1364" xr:uid="{00000000-0005-0000-0000-000051050000}"/>
    <cellStyle name="20% - Ênfase6 54" xfId="1365" xr:uid="{00000000-0005-0000-0000-000052050000}"/>
    <cellStyle name="20% - Ênfase6 55" xfId="1366" xr:uid="{00000000-0005-0000-0000-000053050000}"/>
    <cellStyle name="20% - Ênfase6 56" xfId="1367" xr:uid="{00000000-0005-0000-0000-000054050000}"/>
    <cellStyle name="20% - Ênfase6 57" xfId="1368" xr:uid="{00000000-0005-0000-0000-000055050000}"/>
    <cellStyle name="20% - Ênfase6 58" xfId="1369" xr:uid="{00000000-0005-0000-0000-000056050000}"/>
    <cellStyle name="20% - Ênfase6 59" xfId="1370" xr:uid="{00000000-0005-0000-0000-000057050000}"/>
    <cellStyle name="20% - Ênfase6 6" xfId="1371" xr:uid="{00000000-0005-0000-0000-000058050000}"/>
    <cellStyle name="20% - Ênfase6 6 2" xfId="1372" xr:uid="{00000000-0005-0000-0000-000059050000}"/>
    <cellStyle name="20% - Ênfase6 6 2 2" xfId="1373" xr:uid="{00000000-0005-0000-0000-00005A050000}"/>
    <cellStyle name="20% - Ênfase6 6 2_BD" xfId="1374" xr:uid="{00000000-0005-0000-0000-00005B050000}"/>
    <cellStyle name="20% - Ênfase6 6 3" xfId="1375" xr:uid="{00000000-0005-0000-0000-00005C050000}"/>
    <cellStyle name="20% - Ênfase6 6 3 2" xfId="1376" xr:uid="{00000000-0005-0000-0000-00005D050000}"/>
    <cellStyle name="20% - Ênfase6 6 4" xfId="1377" xr:uid="{00000000-0005-0000-0000-00005E050000}"/>
    <cellStyle name="20% - Ênfase6 60" xfId="1378" xr:uid="{00000000-0005-0000-0000-00005F050000}"/>
    <cellStyle name="20% - Ênfase6 61" xfId="1379" xr:uid="{00000000-0005-0000-0000-000060050000}"/>
    <cellStyle name="20% - Ênfase6 62" xfId="1380" xr:uid="{00000000-0005-0000-0000-000061050000}"/>
    <cellStyle name="20% - Ênfase6 63" xfId="1381" xr:uid="{00000000-0005-0000-0000-000062050000}"/>
    <cellStyle name="20% - Ênfase6 64" xfId="1382" xr:uid="{00000000-0005-0000-0000-000063050000}"/>
    <cellStyle name="20% - Ênfase6 65" xfId="1383" xr:uid="{00000000-0005-0000-0000-000064050000}"/>
    <cellStyle name="20% - Ênfase6 66" xfId="1384" xr:uid="{00000000-0005-0000-0000-000065050000}"/>
    <cellStyle name="20% - Ênfase6 67" xfId="1385" xr:uid="{00000000-0005-0000-0000-000066050000}"/>
    <cellStyle name="20% - Ênfase6 68" xfId="1386" xr:uid="{00000000-0005-0000-0000-000067050000}"/>
    <cellStyle name="20% - Ênfase6 69" xfId="1387" xr:uid="{00000000-0005-0000-0000-000068050000}"/>
    <cellStyle name="20% - Ênfase6 7" xfId="1388" xr:uid="{00000000-0005-0000-0000-000069050000}"/>
    <cellStyle name="20% - Ênfase6 7 2" xfId="1389" xr:uid="{00000000-0005-0000-0000-00006A050000}"/>
    <cellStyle name="20% - Ênfase6 7 2 2" xfId="1390" xr:uid="{00000000-0005-0000-0000-00006B050000}"/>
    <cellStyle name="20% - Ênfase6 7 2_BD" xfId="1391" xr:uid="{00000000-0005-0000-0000-00006C050000}"/>
    <cellStyle name="20% - Ênfase6 7 3" xfId="1392" xr:uid="{00000000-0005-0000-0000-00006D050000}"/>
    <cellStyle name="20% - Ênfase6 7 3 2" xfId="1393" xr:uid="{00000000-0005-0000-0000-00006E050000}"/>
    <cellStyle name="20% - Ênfase6 7 4" xfId="1394" xr:uid="{00000000-0005-0000-0000-00006F050000}"/>
    <cellStyle name="20% - Ênfase6 70" xfId="1395" xr:uid="{00000000-0005-0000-0000-000070050000}"/>
    <cellStyle name="20% - Ênfase6 71" xfId="1396" xr:uid="{00000000-0005-0000-0000-000071050000}"/>
    <cellStyle name="20% - Ênfase6 72" xfId="1397" xr:uid="{00000000-0005-0000-0000-000072050000}"/>
    <cellStyle name="20% - Ênfase6 73" xfId="1398" xr:uid="{00000000-0005-0000-0000-000073050000}"/>
    <cellStyle name="20% - Ênfase6 74" xfId="1399" xr:uid="{00000000-0005-0000-0000-000074050000}"/>
    <cellStyle name="20% - Ênfase6 75" xfId="1400" xr:uid="{00000000-0005-0000-0000-000075050000}"/>
    <cellStyle name="20% - Ênfase6 76" xfId="1401" xr:uid="{00000000-0005-0000-0000-000076050000}"/>
    <cellStyle name="20% - Ênfase6 77" xfId="1402" xr:uid="{00000000-0005-0000-0000-000077050000}"/>
    <cellStyle name="20% - Ênfase6 78" xfId="1403" xr:uid="{00000000-0005-0000-0000-000078050000}"/>
    <cellStyle name="20% - Ênfase6 79" xfId="1404" xr:uid="{00000000-0005-0000-0000-000079050000}"/>
    <cellStyle name="20% - Ênfase6 8" xfId="1405" xr:uid="{00000000-0005-0000-0000-00007A050000}"/>
    <cellStyle name="20% - Ênfase6 8 2" xfId="1406" xr:uid="{00000000-0005-0000-0000-00007B050000}"/>
    <cellStyle name="20% - Ênfase6 8 2 2" xfId="1407" xr:uid="{00000000-0005-0000-0000-00007C050000}"/>
    <cellStyle name="20% - Ênfase6 8 3" xfId="1408" xr:uid="{00000000-0005-0000-0000-00007D050000}"/>
    <cellStyle name="20% - Ênfase6 8 3 2" xfId="1409" xr:uid="{00000000-0005-0000-0000-00007E050000}"/>
    <cellStyle name="20% - Ênfase6 8 4" xfId="1410" xr:uid="{00000000-0005-0000-0000-00007F050000}"/>
    <cellStyle name="20% - Ênfase6 80" xfId="1411" xr:uid="{00000000-0005-0000-0000-000080050000}"/>
    <cellStyle name="20% - Ênfase6 81" xfId="1412" xr:uid="{00000000-0005-0000-0000-000081050000}"/>
    <cellStyle name="20% - Ênfase6 82" xfId="1413" xr:uid="{00000000-0005-0000-0000-000082050000}"/>
    <cellStyle name="20% - Ênfase6 83" xfId="1414" xr:uid="{00000000-0005-0000-0000-000083050000}"/>
    <cellStyle name="20% - Ênfase6 84" xfId="1415" xr:uid="{00000000-0005-0000-0000-000084050000}"/>
    <cellStyle name="20% - Ênfase6 85" xfId="1416" xr:uid="{00000000-0005-0000-0000-000085050000}"/>
    <cellStyle name="20% - Ênfase6 86" xfId="1417" xr:uid="{00000000-0005-0000-0000-000086050000}"/>
    <cellStyle name="20% - Ênfase6 87" xfId="1418" xr:uid="{00000000-0005-0000-0000-000087050000}"/>
    <cellStyle name="20% - Ênfase6 88" xfId="1419" xr:uid="{00000000-0005-0000-0000-000088050000}"/>
    <cellStyle name="20% - Ênfase6 89" xfId="1420" xr:uid="{00000000-0005-0000-0000-000089050000}"/>
    <cellStyle name="20% - Ênfase6 9" xfId="1421" xr:uid="{00000000-0005-0000-0000-00008A050000}"/>
    <cellStyle name="20% - Ênfase6 9 2" xfId="1422" xr:uid="{00000000-0005-0000-0000-00008B050000}"/>
    <cellStyle name="20% - Ênfase6 9 2 2" xfId="1423" xr:uid="{00000000-0005-0000-0000-00008C050000}"/>
    <cellStyle name="20% - Ênfase6 9 3" xfId="1424" xr:uid="{00000000-0005-0000-0000-00008D050000}"/>
    <cellStyle name="20% - Ênfase6 9 3 2" xfId="1425" xr:uid="{00000000-0005-0000-0000-00008E050000}"/>
    <cellStyle name="20% - Ênfase6 9 4" xfId="1426" xr:uid="{00000000-0005-0000-0000-00008F050000}"/>
    <cellStyle name="20% - Ênfase6 90" xfId="1427" xr:uid="{00000000-0005-0000-0000-000090050000}"/>
    <cellStyle name="20% - Ênfase6 91" xfId="1428" xr:uid="{00000000-0005-0000-0000-000091050000}"/>
    <cellStyle name="20% - Ênfase6 92" xfId="1429" xr:uid="{00000000-0005-0000-0000-000092050000}"/>
    <cellStyle name="20% - Ênfase6 93" xfId="1430" xr:uid="{00000000-0005-0000-0000-000093050000}"/>
    <cellStyle name="20% - Ênfase6 94" xfId="1431" xr:uid="{00000000-0005-0000-0000-000094050000}"/>
    <cellStyle name="20% - Ênfase6 95" xfId="1432" xr:uid="{00000000-0005-0000-0000-000095050000}"/>
    <cellStyle name="20% - Ênfase6 96" xfId="1433" xr:uid="{00000000-0005-0000-0000-000096050000}"/>
    <cellStyle name="20% - Ênfase6 97" xfId="1434" xr:uid="{00000000-0005-0000-0000-000097050000}"/>
    <cellStyle name="20% - Ênfase6 98" xfId="1435" xr:uid="{00000000-0005-0000-0000-000098050000}"/>
    <cellStyle name="20% - Ênfase6 99" xfId="1436" xr:uid="{00000000-0005-0000-0000-000099050000}"/>
    <cellStyle name="40% - Ênfase1 10" xfId="1437" xr:uid="{00000000-0005-0000-0000-00009A050000}"/>
    <cellStyle name="40% - Ênfase1 10 2" xfId="1438" xr:uid="{00000000-0005-0000-0000-00009B050000}"/>
    <cellStyle name="40% - Ênfase1 10 2 2" xfId="1439" xr:uid="{00000000-0005-0000-0000-00009C050000}"/>
    <cellStyle name="40% - Ênfase1 10 3" xfId="1440" xr:uid="{00000000-0005-0000-0000-00009D050000}"/>
    <cellStyle name="40% - Ênfase1 10 3 2" xfId="1441" xr:uid="{00000000-0005-0000-0000-00009E050000}"/>
    <cellStyle name="40% - Ênfase1 10 4" xfId="1442" xr:uid="{00000000-0005-0000-0000-00009F050000}"/>
    <cellStyle name="40% - Ênfase1 100" xfId="1443" xr:uid="{00000000-0005-0000-0000-0000A0050000}"/>
    <cellStyle name="40% - Ênfase1 101" xfId="1444" xr:uid="{00000000-0005-0000-0000-0000A1050000}"/>
    <cellStyle name="40% - Ênfase1 102" xfId="1445" xr:uid="{00000000-0005-0000-0000-0000A2050000}"/>
    <cellStyle name="40% - Ênfase1 103" xfId="1446" xr:uid="{00000000-0005-0000-0000-0000A3050000}"/>
    <cellStyle name="40% - Ênfase1 104" xfId="1447" xr:uid="{00000000-0005-0000-0000-0000A4050000}"/>
    <cellStyle name="40% - Ênfase1 105" xfId="1448" xr:uid="{00000000-0005-0000-0000-0000A5050000}"/>
    <cellStyle name="40% - Ênfase1 106" xfId="1449" xr:uid="{00000000-0005-0000-0000-0000A6050000}"/>
    <cellStyle name="40% - Ênfase1 107" xfId="1450" xr:uid="{00000000-0005-0000-0000-0000A7050000}"/>
    <cellStyle name="40% - Ênfase1 108" xfId="1451" xr:uid="{00000000-0005-0000-0000-0000A8050000}"/>
    <cellStyle name="40% - Ênfase1 109" xfId="1452" xr:uid="{00000000-0005-0000-0000-0000A9050000}"/>
    <cellStyle name="40% - Ênfase1 11" xfId="1453" xr:uid="{00000000-0005-0000-0000-0000AA050000}"/>
    <cellStyle name="40% - Ênfase1 11 2" xfId="1454" xr:uid="{00000000-0005-0000-0000-0000AB050000}"/>
    <cellStyle name="40% - Ênfase1 11 2 2" xfId="1455" xr:uid="{00000000-0005-0000-0000-0000AC050000}"/>
    <cellStyle name="40% - Ênfase1 11 3" xfId="1456" xr:uid="{00000000-0005-0000-0000-0000AD050000}"/>
    <cellStyle name="40% - Ênfase1 11 3 2" xfId="1457" xr:uid="{00000000-0005-0000-0000-0000AE050000}"/>
    <cellStyle name="40% - Ênfase1 11 4" xfId="1458" xr:uid="{00000000-0005-0000-0000-0000AF050000}"/>
    <cellStyle name="40% - Ênfase1 110" xfId="1459" xr:uid="{00000000-0005-0000-0000-0000B0050000}"/>
    <cellStyle name="40% - Ênfase1 111" xfId="1460" xr:uid="{00000000-0005-0000-0000-0000B1050000}"/>
    <cellStyle name="40% - Ênfase1 112" xfId="1461" xr:uid="{00000000-0005-0000-0000-0000B2050000}"/>
    <cellStyle name="40% - Ênfase1 113" xfId="1462" xr:uid="{00000000-0005-0000-0000-0000B3050000}"/>
    <cellStyle name="40% - Ênfase1 114" xfId="1463" xr:uid="{00000000-0005-0000-0000-0000B4050000}"/>
    <cellStyle name="40% - Ênfase1 115" xfId="1464" xr:uid="{00000000-0005-0000-0000-0000B5050000}"/>
    <cellStyle name="40% - Ênfase1 116" xfId="1465" xr:uid="{00000000-0005-0000-0000-0000B6050000}"/>
    <cellStyle name="40% - Ênfase1 117" xfId="1466" xr:uid="{00000000-0005-0000-0000-0000B7050000}"/>
    <cellStyle name="40% - Ênfase1 118" xfId="1467" xr:uid="{00000000-0005-0000-0000-0000B8050000}"/>
    <cellStyle name="40% - Ênfase1 119" xfId="1468" xr:uid="{00000000-0005-0000-0000-0000B9050000}"/>
    <cellStyle name="40% - Ênfase1 12" xfId="1469" xr:uid="{00000000-0005-0000-0000-0000BA050000}"/>
    <cellStyle name="40% - Ênfase1 12 2" xfId="1470" xr:uid="{00000000-0005-0000-0000-0000BB050000}"/>
    <cellStyle name="40% - Ênfase1 12 2 2" xfId="1471" xr:uid="{00000000-0005-0000-0000-0000BC050000}"/>
    <cellStyle name="40% - Ênfase1 12 3" xfId="1472" xr:uid="{00000000-0005-0000-0000-0000BD050000}"/>
    <cellStyle name="40% - Ênfase1 12 3 2" xfId="1473" xr:uid="{00000000-0005-0000-0000-0000BE050000}"/>
    <cellStyle name="40% - Ênfase1 12 4" xfId="1474" xr:uid="{00000000-0005-0000-0000-0000BF050000}"/>
    <cellStyle name="40% - Ênfase1 120" xfId="1475" xr:uid="{00000000-0005-0000-0000-0000C0050000}"/>
    <cellStyle name="40% - Ênfase1 13" xfId="1476" xr:uid="{00000000-0005-0000-0000-0000C1050000}"/>
    <cellStyle name="40% - Ênfase1 13 2" xfId="1477" xr:uid="{00000000-0005-0000-0000-0000C2050000}"/>
    <cellStyle name="40% - Ênfase1 13 2 2" xfId="1478" xr:uid="{00000000-0005-0000-0000-0000C3050000}"/>
    <cellStyle name="40% - Ênfase1 13 3" xfId="1479" xr:uid="{00000000-0005-0000-0000-0000C4050000}"/>
    <cellStyle name="40% - Ênfase1 13 3 2" xfId="1480" xr:uid="{00000000-0005-0000-0000-0000C5050000}"/>
    <cellStyle name="40% - Ênfase1 13 4" xfId="1481" xr:uid="{00000000-0005-0000-0000-0000C6050000}"/>
    <cellStyle name="40% - Ênfase1 14" xfId="1482" xr:uid="{00000000-0005-0000-0000-0000C7050000}"/>
    <cellStyle name="40% - Ênfase1 14 2" xfId="1483" xr:uid="{00000000-0005-0000-0000-0000C8050000}"/>
    <cellStyle name="40% - Ênfase1 14 2 2" xfId="1484" xr:uid="{00000000-0005-0000-0000-0000C9050000}"/>
    <cellStyle name="40% - Ênfase1 14 3" xfId="1485" xr:uid="{00000000-0005-0000-0000-0000CA050000}"/>
    <cellStyle name="40% - Ênfase1 14 3 2" xfId="1486" xr:uid="{00000000-0005-0000-0000-0000CB050000}"/>
    <cellStyle name="40% - Ênfase1 14 4" xfId="1487" xr:uid="{00000000-0005-0000-0000-0000CC050000}"/>
    <cellStyle name="40% - Ênfase1 15" xfId="1488" xr:uid="{00000000-0005-0000-0000-0000CD050000}"/>
    <cellStyle name="40% - Ênfase1 15 2" xfId="1489" xr:uid="{00000000-0005-0000-0000-0000CE050000}"/>
    <cellStyle name="40% - Ênfase1 16" xfId="1490" xr:uid="{00000000-0005-0000-0000-0000CF050000}"/>
    <cellStyle name="40% - Ênfase1 16 2" xfId="1491" xr:uid="{00000000-0005-0000-0000-0000D0050000}"/>
    <cellStyle name="40% - Ênfase1 17" xfId="1492" xr:uid="{00000000-0005-0000-0000-0000D1050000}"/>
    <cellStyle name="40% - Ênfase1 17 2" xfId="1493" xr:uid="{00000000-0005-0000-0000-0000D2050000}"/>
    <cellStyle name="40% - Ênfase1 18" xfId="1494" xr:uid="{00000000-0005-0000-0000-0000D3050000}"/>
    <cellStyle name="40% - Ênfase1 18 2" xfId="1495" xr:uid="{00000000-0005-0000-0000-0000D4050000}"/>
    <cellStyle name="40% - Ênfase1 19" xfId="1496" xr:uid="{00000000-0005-0000-0000-0000D5050000}"/>
    <cellStyle name="40% - Ênfase1 19 2" xfId="1497" xr:uid="{00000000-0005-0000-0000-0000D6050000}"/>
    <cellStyle name="40% - Ênfase1 2" xfId="1498" xr:uid="{00000000-0005-0000-0000-0000D7050000}"/>
    <cellStyle name="40% - Ênfase1 2 2" xfId="1499" xr:uid="{00000000-0005-0000-0000-0000D8050000}"/>
    <cellStyle name="40% - Ênfase1 2 2 2" xfId="1500" xr:uid="{00000000-0005-0000-0000-0000D9050000}"/>
    <cellStyle name="40% - Ênfase1 2 2 2 2" xfId="1501" xr:uid="{00000000-0005-0000-0000-0000DA050000}"/>
    <cellStyle name="40% - Ênfase1 2 2 2 2 2" xfId="1502" xr:uid="{00000000-0005-0000-0000-0000DB050000}"/>
    <cellStyle name="40% - Ênfase1 2 2 2 2 2 2" xfId="1503" xr:uid="{00000000-0005-0000-0000-0000DC050000}"/>
    <cellStyle name="40% - Ênfase1 2 2 2 2 2 2 2" xfId="1504" xr:uid="{00000000-0005-0000-0000-0000DD050000}"/>
    <cellStyle name="40% - Ênfase1 2 2 2 2 2 3" xfId="1505" xr:uid="{00000000-0005-0000-0000-0000DE050000}"/>
    <cellStyle name="40% - Ênfase1 2 2 2 2 3" xfId="1506" xr:uid="{00000000-0005-0000-0000-0000DF050000}"/>
    <cellStyle name="40% - Ênfase1 2 2 2 2 3 2" xfId="1507" xr:uid="{00000000-0005-0000-0000-0000E0050000}"/>
    <cellStyle name="40% - Ênfase1 2 2 2 3" xfId="1508" xr:uid="{00000000-0005-0000-0000-0000E1050000}"/>
    <cellStyle name="40% - Ênfase1 2 2 2 3 2" xfId="1509" xr:uid="{00000000-0005-0000-0000-0000E2050000}"/>
    <cellStyle name="40% - Ênfase1 2 2 2_BD" xfId="1510" xr:uid="{00000000-0005-0000-0000-0000E3050000}"/>
    <cellStyle name="40% - Ênfase1 2 2 3" xfId="1511" xr:uid="{00000000-0005-0000-0000-0000E4050000}"/>
    <cellStyle name="40% - Ênfase1 2 2 3 2" xfId="1512" xr:uid="{00000000-0005-0000-0000-0000E5050000}"/>
    <cellStyle name="40% - Ênfase1 2 2 4" xfId="1513" xr:uid="{00000000-0005-0000-0000-0000E6050000}"/>
    <cellStyle name="40% - Ênfase1 2 2 5" xfId="1514" xr:uid="{00000000-0005-0000-0000-0000E7050000}"/>
    <cellStyle name="40% - Ênfase1 2 2 5 2" xfId="1515" xr:uid="{00000000-0005-0000-0000-0000E8050000}"/>
    <cellStyle name="40% - Ênfase1 2 2_BD" xfId="1516" xr:uid="{00000000-0005-0000-0000-0000E9050000}"/>
    <cellStyle name="40% - Ênfase1 2 3" xfId="1517" xr:uid="{00000000-0005-0000-0000-0000EA050000}"/>
    <cellStyle name="40% - Ênfase1 2 3 2" xfId="1518" xr:uid="{00000000-0005-0000-0000-0000EB050000}"/>
    <cellStyle name="40% - Ênfase1 2 3_BD" xfId="1519" xr:uid="{00000000-0005-0000-0000-0000EC050000}"/>
    <cellStyle name="40% - Ênfase1 2 4" xfId="1520" xr:uid="{00000000-0005-0000-0000-0000ED050000}"/>
    <cellStyle name="40% - Ênfase1 2 5" xfId="1521" xr:uid="{00000000-0005-0000-0000-0000EE050000}"/>
    <cellStyle name="40% - Ênfase1 2 6" xfId="1522" xr:uid="{00000000-0005-0000-0000-0000EF050000}"/>
    <cellStyle name="40% - Ênfase1 2 6 2" xfId="1523" xr:uid="{00000000-0005-0000-0000-0000F0050000}"/>
    <cellStyle name="40% - Ênfase1 2_BD" xfId="1524" xr:uid="{00000000-0005-0000-0000-0000F1050000}"/>
    <cellStyle name="40% - Ênfase1 20" xfId="1525" xr:uid="{00000000-0005-0000-0000-0000F2050000}"/>
    <cellStyle name="40% - Ênfase1 20 2" xfId="1526" xr:uid="{00000000-0005-0000-0000-0000F3050000}"/>
    <cellStyle name="40% - Ênfase1 21" xfId="1527" xr:uid="{00000000-0005-0000-0000-0000F4050000}"/>
    <cellStyle name="40% - Ênfase1 21 2" xfId="1528" xr:uid="{00000000-0005-0000-0000-0000F5050000}"/>
    <cellStyle name="40% - Ênfase1 22" xfId="1529" xr:uid="{00000000-0005-0000-0000-0000F6050000}"/>
    <cellStyle name="40% - Ênfase1 22 2" xfId="1530" xr:uid="{00000000-0005-0000-0000-0000F7050000}"/>
    <cellStyle name="40% - Ênfase1 23" xfId="1531" xr:uid="{00000000-0005-0000-0000-0000F8050000}"/>
    <cellStyle name="40% - Ênfase1 23 2" xfId="1532" xr:uid="{00000000-0005-0000-0000-0000F9050000}"/>
    <cellStyle name="40% - Ênfase1 24" xfId="1533" xr:uid="{00000000-0005-0000-0000-0000FA050000}"/>
    <cellStyle name="40% - Ênfase1 24 2" xfId="1534" xr:uid="{00000000-0005-0000-0000-0000FB050000}"/>
    <cellStyle name="40% - Ênfase1 25" xfId="1535" xr:uid="{00000000-0005-0000-0000-0000FC050000}"/>
    <cellStyle name="40% - Ênfase1 25 2" xfId="1536" xr:uid="{00000000-0005-0000-0000-0000FD050000}"/>
    <cellStyle name="40% - Ênfase1 26" xfId="1537" xr:uid="{00000000-0005-0000-0000-0000FE050000}"/>
    <cellStyle name="40% - Ênfase1 26 2" xfId="1538" xr:uid="{00000000-0005-0000-0000-0000FF050000}"/>
    <cellStyle name="40% - Ênfase1 27" xfId="1539" xr:uid="{00000000-0005-0000-0000-000000060000}"/>
    <cellStyle name="40% - Ênfase1 27 2" xfId="1540" xr:uid="{00000000-0005-0000-0000-000001060000}"/>
    <cellStyle name="40% - Ênfase1 28" xfId="1541" xr:uid="{00000000-0005-0000-0000-000002060000}"/>
    <cellStyle name="40% - Ênfase1 28 2" xfId="1542" xr:uid="{00000000-0005-0000-0000-000003060000}"/>
    <cellStyle name="40% - Ênfase1 29" xfId="1543" xr:uid="{00000000-0005-0000-0000-000004060000}"/>
    <cellStyle name="40% - Ênfase1 3" xfId="1544" xr:uid="{00000000-0005-0000-0000-000005060000}"/>
    <cellStyle name="40% - Ênfase1 3 2" xfId="1545" xr:uid="{00000000-0005-0000-0000-000006060000}"/>
    <cellStyle name="40% - Ênfase1 3 2 2" xfId="1546" xr:uid="{00000000-0005-0000-0000-000007060000}"/>
    <cellStyle name="40% - Ênfase1 3 2_BD" xfId="1547" xr:uid="{00000000-0005-0000-0000-000008060000}"/>
    <cellStyle name="40% - Ênfase1 3 3" xfId="1548" xr:uid="{00000000-0005-0000-0000-000009060000}"/>
    <cellStyle name="40% - Ênfase1 3 3 2" xfId="1549" xr:uid="{00000000-0005-0000-0000-00000A060000}"/>
    <cellStyle name="40% - Ênfase1 3 3_BD" xfId="1550" xr:uid="{00000000-0005-0000-0000-00000B060000}"/>
    <cellStyle name="40% - Ênfase1 3 4" xfId="1551" xr:uid="{00000000-0005-0000-0000-00000C060000}"/>
    <cellStyle name="40% - Ênfase1 30" xfId="1552" xr:uid="{00000000-0005-0000-0000-00000D060000}"/>
    <cellStyle name="40% - Ênfase1 31" xfId="1553" xr:uid="{00000000-0005-0000-0000-00000E060000}"/>
    <cellStyle name="40% - Ênfase1 32" xfId="1554" xr:uid="{00000000-0005-0000-0000-00000F060000}"/>
    <cellStyle name="40% - Ênfase1 33" xfId="1555" xr:uid="{00000000-0005-0000-0000-000010060000}"/>
    <cellStyle name="40% - Ênfase1 34" xfId="1556" xr:uid="{00000000-0005-0000-0000-000011060000}"/>
    <cellStyle name="40% - Ênfase1 35" xfId="1557" xr:uid="{00000000-0005-0000-0000-000012060000}"/>
    <cellStyle name="40% - Ênfase1 36" xfId="1558" xr:uid="{00000000-0005-0000-0000-000013060000}"/>
    <cellStyle name="40% - Ênfase1 36 2" xfId="1559" xr:uid="{00000000-0005-0000-0000-000014060000}"/>
    <cellStyle name="40% - Ênfase1 36 3" xfId="1560" xr:uid="{00000000-0005-0000-0000-000015060000}"/>
    <cellStyle name="40% - Ênfase1 36 4" xfId="1561" xr:uid="{00000000-0005-0000-0000-000016060000}"/>
    <cellStyle name="40% - Ênfase1 37" xfId="1562" xr:uid="{00000000-0005-0000-0000-000017060000}"/>
    <cellStyle name="40% - Ênfase1 37 2" xfId="1563" xr:uid="{00000000-0005-0000-0000-000018060000}"/>
    <cellStyle name="40% - Ênfase1 37 3" xfId="1564" xr:uid="{00000000-0005-0000-0000-000019060000}"/>
    <cellStyle name="40% - Ênfase1 37 4" xfId="1565" xr:uid="{00000000-0005-0000-0000-00001A060000}"/>
    <cellStyle name="40% - Ênfase1 38" xfId="1566" xr:uid="{00000000-0005-0000-0000-00001B060000}"/>
    <cellStyle name="40% - Ênfase1 38 2" xfId="1567" xr:uid="{00000000-0005-0000-0000-00001C060000}"/>
    <cellStyle name="40% - Ênfase1 38 3" xfId="1568" xr:uid="{00000000-0005-0000-0000-00001D060000}"/>
    <cellStyle name="40% - Ênfase1 38 4" xfId="1569" xr:uid="{00000000-0005-0000-0000-00001E060000}"/>
    <cellStyle name="40% - Ênfase1 39" xfId="1570" xr:uid="{00000000-0005-0000-0000-00001F060000}"/>
    <cellStyle name="40% - Ênfase1 39 2" xfId="1571" xr:uid="{00000000-0005-0000-0000-000020060000}"/>
    <cellStyle name="40% - Ênfase1 39 3" xfId="1572" xr:uid="{00000000-0005-0000-0000-000021060000}"/>
    <cellStyle name="40% - Ênfase1 39 4" xfId="1573" xr:uid="{00000000-0005-0000-0000-000022060000}"/>
    <cellStyle name="40% - Ênfase1 4" xfId="1574" xr:uid="{00000000-0005-0000-0000-000023060000}"/>
    <cellStyle name="40% - Ênfase1 4 2" xfId="1575" xr:uid="{00000000-0005-0000-0000-000024060000}"/>
    <cellStyle name="40% - Ênfase1 4 2 2" xfId="1576" xr:uid="{00000000-0005-0000-0000-000025060000}"/>
    <cellStyle name="40% - Ênfase1 4 2_BD" xfId="1577" xr:uid="{00000000-0005-0000-0000-000026060000}"/>
    <cellStyle name="40% - Ênfase1 4 3" xfId="1578" xr:uid="{00000000-0005-0000-0000-000027060000}"/>
    <cellStyle name="40% - Ênfase1 4 3 2" xfId="1579" xr:uid="{00000000-0005-0000-0000-000028060000}"/>
    <cellStyle name="40% - Ênfase1 4 3_BD" xfId="1580" xr:uid="{00000000-0005-0000-0000-000029060000}"/>
    <cellStyle name="40% - Ênfase1 4 4" xfId="1581" xr:uid="{00000000-0005-0000-0000-00002A060000}"/>
    <cellStyle name="40% - Ênfase1 40" xfId="1582" xr:uid="{00000000-0005-0000-0000-00002B060000}"/>
    <cellStyle name="40% - Ênfase1 40 2" xfId="1583" xr:uid="{00000000-0005-0000-0000-00002C060000}"/>
    <cellStyle name="40% - Ênfase1 41" xfId="1584" xr:uid="{00000000-0005-0000-0000-00002D060000}"/>
    <cellStyle name="40% - Ênfase1 42" xfId="1585" xr:uid="{00000000-0005-0000-0000-00002E060000}"/>
    <cellStyle name="40% - Ênfase1 43" xfId="1586" xr:uid="{00000000-0005-0000-0000-00002F060000}"/>
    <cellStyle name="40% - Ênfase1 44" xfId="1587" xr:uid="{00000000-0005-0000-0000-000030060000}"/>
    <cellStyle name="40% - Ênfase1 45" xfId="1588" xr:uid="{00000000-0005-0000-0000-000031060000}"/>
    <cellStyle name="40% - Ênfase1 46" xfId="1589" xr:uid="{00000000-0005-0000-0000-000032060000}"/>
    <cellStyle name="40% - Ênfase1 47" xfId="1590" xr:uid="{00000000-0005-0000-0000-000033060000}"/>
    <cellStyle name="40% - Ênfase1 48" xfId="1591" xr:uid="{00000000-0005-0000-0000-000034060000}"/>
    <cellStyle name="40% - Ênfase1 49" xfId="1592" xr:uid="{00000000-0005-0000-0000-000035060000}"/>
    <cellStyle name="40% - Ênfase1 5" xfId="1593" xr:uid="{00000000-0005-0000-0000-000036060000}"/>
    <cellStyle name="40% - Ênfase1 5 2" xfId="1594" xr:uid="{00000000-0005-0000-0000-000037060000}"/>
    <cellStyle name="40% - Ênfase1 5 2 2" xfId="1595" xr:uid="{00000000-0005-0000-0000-000038060000}"/>
    <cellStyle name="40% - Ênfase1 5 2_BD" xfId="1596" xr:uid="{00000000-0005-0000-0000-000039060000}"/>
    <cellStyle name="40% - Ênfase1 5 3" xfId="1597" xr:uid="{00000000-0005-0000-0000-00003A060000}"/>
    <cellStyle name="40% - Ênfase1 5 3 2" xfId="1598" xr:uid="{00000000-0005-0000-0000-00003B060000}"/>
    <cellStyle name="40% - Ênfase1 5 4" xfId="1599" xr:uid="{00000000-0005-0000-0000-00003C060000}"/>
    <cellStyle name="40% - Ênfase1 50" xfId="1600" xr:uid="{00000000-0005-0000-0000-00003D060000}"/>
    <cellStyle name="40% - Ênfase1 51" xfId="1601" xr:uid="{00000000-0005-0000-0000-00003E060000}"/>
    <cellStyle name="40% - Ênfase1 52" xfId="1602" xr:uid="{00000000-0005-0000-0000-00003F060000}"/>
    <cellStyle name="40% - Ênfase1 53" xfId="1603" xr:uid="{00000000-0005-0000-0000-000040060000}"/>
    <cellStyle name="40% - Ênfase1 54" xfId="1604" xr:uid="{00000000-0005-0000-0000-000041060000}"/>
    <cellStyle name="40% - Ênfase1 55" xfId="1605" xr:uid="{00000000-0005-0000-0000-000042060000}"/>
    <cellStyle name="40% - Ênfase1 56" xfId="1606" xr:uid="{00000000-0005-0000-0000-000043060000}"/>
    <cellStyle name="40% - Ênfase1 57" xfId="1607" xr:uid="{00000000-0005-0000-0000-000044060000}"/>
    <cellStyle name="40% - Ênfase1 58" xfId="1608" xr:uid="{00000000-0005-0000-0000-000045060000}"/>
    <cellStyle name="40% - Ênfase1 59" xfId="1609" xr:uid="{00000000-0005-0000-0000-000046060000}"/>
    <cellStyle name="40% - Ênfase1 6" xfId="1610" xr:uid="{00000000-0005-0000-0000-000047060000}"/>
    <cellStyle name="40% - Ênfase1 6 2" xfId="1611" xr:uid="{00000000-0005-0000-0000-000048060000}"/>
    <cellStyle name="40% - Ênfase1 6 2 2" xfId="1612" xr:uid="{00000000-0005-0000-0000-000049060000}"/>
    <cellStyle name="40% - Ênfase1 6 2_BD" xfId="1613" xr:uid="{00000000-0005-0000-0000-00004A060000}"/>
    <cellStyle name="40% - Ênfase1 6 3" xfId="1614" xr:uid="{00000000-0005-0000-0000-00004B060000}"/>
    <cellStyle name="40% - Ênfase1 6 3 2" xfId="1615" xr:uid="{00000000-0005-0000-0000-00004C060000}"/>
    <cellStyle name="40% - Ênfase1 6 4" xfId="1616" xr:uid="{00000000-0005-0000-0000-00004D060000}"/>
    <cellStyle name="40% - Ênfase1 60" xfId="1617" xr:uid="{00000000-0005-0000-0000-00004E060000}"/>
    <cellStyle name="40% - Ênfase1 61" xfId="1618" xr:uid="{00000000-0005-0000-0000-00004F060000}"/>
    <cellStyle name="40% - Ênfase1 62" xfId="1619" xr:uid="{00000000-0005-0000-0000-000050060000}"/>
    <cellStyle name="40% - Ênfase1 63" xfId="1620" xr:uid="{00000000-0005-0000-0000-000051060000}"/>
    <cellStyle name="40% - Ênfase1 64" xfId="1621" xr:uid="{00000000-0005-0000-0000-000052060000}"/>
    <cellStyle name="40% - Ênfase1 65" xfId="1622" xr:uid="{00000000-0005-0000-0000-000053060000}"/>
    <cellStyle name="40% - Ênfase1 66" xfId="1623" xr:uid="{00000000-0005-0000-0000-000054060000}"/>
    <cellStyle name="40% - Ênfase1 67" xfId="1624" xr:uid="{00000000-0005-0000-0000-000055060000}"/>
    <cellStyle name="40% - Ênfase1 68" xfId="1625" xr:uid="{00000000-0005-0000-0000-000056060000}"/>
    <cellStyle name="40% - Ênfase1 69" xfId="1626" xr:uid="{00000000-0005-0000-0000-000057060000}"/>
    <cellStyle name="40% - Ênfase1 7" xfId="1627" xr:uid="{00000000-0005-0000-0000-000058060000}"/>
    <cellStyle name="40% - Ênfase1 7 2" xfId="1628" xr:uid="{00000000-0005-0000-0000-000059060000}"/>
    <cellStyle name="40% - Ênfase1 7 2 2" xfId="1629" xr:uid="{00000000-0005-0000-0000-00005A060000}"/>
    <cellStyle name="40% - Ênfase1 7 2_BD" xfId="1630" xr:uid="{00000000-0005-0000-0000-00005B060000}"/>
    <cellStyle name="40% - Ênfase1 7 3" xfId="1631" xr:uid="{00000000-0005-0000-0000-00005C060000}"/>
    <cellStyle name="40% - Ênfase1 7 3 2" xfId="1632" xr:uid="{00000000-0005-0000-0000-00005D060000}"/>
    <cellStyle name="40% - Ênfase1 7 4" xfId="1633" xr:uid="{00000000-0005-0000-0000-00005E060000}"/>
    <cellStyle name="40% - Ênfase1 70" xfId="1634" xr:uid="{00000000-0005-0000-0000-00005F060000}"/>
    <cellStyle name="40% - Ênfase1 71" xfId="1635" xr:uid="{00000000-0005-0000-0000-000060060000}"/>
    <cellStyle name="40% - Ênfase1 72" xfId="1636" xr:uid="{00000000-0005-0000-0000-000061060000}"/>
    <cellStyle name="40% - Ênfase1 73" xfId="1637" xr:uid="{00000000-0005-0000-0000-000062060000}"/>
    <cellStyle name="40% - Ênfase1 74" xfId="1638" xr:uid="{00000000-0005-0000-0000-000063060000}"/>
    <cellStyle name="40% - Ênfase1 75" xfId="1639" xr:uid="{00000000-0005-0000-0000-000064060000}"/>
    <cellStyle name="40% - Ênfase1 76" xfId="1640" xr:uid="{00000000-0005-0000-0000-000065060000}"/>
    <cellStyle name="40% - Ênfase1 77" xfId="1641" xr:uid="{00000000-0005-0000-0000-000066060000}"/>
    <cellStyle name="40% - Ênfase1 78" xfId="1642" xr:uid="{00000000-0005-0000-0000-000067060000}"/>
    <cellStyle name="40% - Ênfase1 79" xfId="1643" xr:uid="{00000000-0005-0000-0000-000068060000}"/>
    <cellStyle name="40% - Ênfase1 8" xfId="1644" xr:uid="{00000000-0005-0000-0000-000069060000}"/>
    <cellStyle name="40% - Ênfase1 8 2" xfId="1645" xr:uid="{00000000-0005-0000-0000-00006A060000}"/>
    <cellStyle name="40% - Ênfase1 8 2 2" xfId="1646" xr:uid="{00000000-0005-0000-0000-00006B060000}"/>
    <cellStyle name="40% - Ênfase1 8 3" xfId="1647" xr:uid="{00000000-0005-0000-0000-00006C060000}"/>
    <cellStyle name="40% - Ênfase1 8 3 2" xfId="1648" xr:uid="{00000000-0005-0000-0000-00006D060000}"/>
    <cellStyle name="40% - Ênfase1 8 4" xfId="1649" xr:uid="{00000000-0005-0000-0000-00006E060000}"/>
    <cellStyle name="40% - Ênfase1 80" xfId="1650" xr:uid="{00000000-0005-0000-0000-00006F060000}"/>
    <cellStyle name="40% - Ênfase1 81" xfId="1651" xr:uid="{00000000-0005-0000-0000-000070060000}"/>
    <cellStyle name="40% - Ênfase1 82" xfId="1652" xr:uid="{00000000-0005-0000-0000-000071060000}"/>
    <cellStyle name="40% - Ênfase1 83" xfId="1653" xr:uid="{00000000-0005-0000-0000-000072060000}"/>
    <cellStyle name="40% - Ênfase1 84" xfId="1654" xr:uid="{00000000-0005-0000-0000-000073060000}"/>
    <cellStyle name="40% - Ênfase1 85" xfId="1655" xr:uid="{00000000-0005-0000-0000-000074060000}"/>
    <cellStyle name="40% - Ênfase1 86" xfId="1656" xr:uid="{00000000-0005-0000-0000-000075060000}"/>
    <cellStyle name="40% - Ênfase1 87" xfId="1657" xr:uid="{00000000-0005-0000-0000-000076060000}"/>
    <cellStyle name="40% - Ênfase1 88" xfId="1658" xr:uid="{00000000-0005-0000-0000-000077060000}"/>
    <cellStyle name="40% - Ênfase1 89" xfId="1659" xr:uid="{00000000-0005-0000-0000-000078060000}"/>
    <cellStyle name="40% - Ênfase1 9" xfId="1660" xr:uid="{00000000-0005-0000-0000-000079060000}"/>
    <cellStyle name="40% - Ênfase1 9 2" xfId="1661" xr:uid="{00000000-0005-0000-0000-00007A060000}"/>
    <cellStyle name="40% - Ênfase1 9 2 2" xfId="1662" xr:uid="{00000000-0005-0000-0000-00007B060000}"/>
    <cellStyle name="40% - Ênfase1 9 3" xfId="1663" xr:uid="{00000000-0005-0000-0000-00007C060000}"/>
    <cellStyle name="40% - Ênfase1 9 3 2" xfId="1664" xr:uid="{00000000-0005-0000-0000-00007D060000}"/>
    <cellStyle name="40% - Ênfase1 9 4" xfId="1665" xr:uid="{00000000-0005-0000-0000-00007E060000}"/>
    <cellStyle name="40% - Ênfase1 90" xfId="1666" xr:uid="{00000000-0005-0000-0000-00007F060000}"/>
    <cellStyle name="40% - Ênfase1 91" xfId="1667" xr:uid="{00000000-0005-0000-0000-000080060000}"/>
    <cellStyle name="40% - Ênfase1 92" xfId="1668" xr:uid="{00000000-0005-0000-0000-000081060000}"/>
    <cellStyle name="40% - Ênfase1 93" xfId="1669" xr:uid="{00000000-0005-0000-0000-000082060000}"/>
    <cellStyle name="40% - Ênfase1 94" xfId="1670" xr:uid="{00000000-0005-0000-0000-000083060000}"/>
    <cellStyle name="40% - Ênfase1 95" xfId="1671" xr:uid="{00000000-0005-0000-0000-000084060000}"/>
    <cellStyle name="40% - Ênfase1 96" xfId="1672" xr:uid="{00000000-0005-0000-0000-000085060000}"/>
    <cellStyle name="40% - Ênfase1 97" xfId="1673" xr:uid="{00000000-0005-0000-0000-000086060000}"/>
    <cellStyle name="40% - Ênfase1 98" xfId="1674" xr:uid="{00000000-0005-0000-0000-000087060000}"/>
    <cellStyle name="40% - Ênfase1 99" xfId="1675" xr:uid="{00000000-0005-0000-0000-000088060000}"/>
    <cellStyle name="40% - Ênfase2 10" xfId="1676" xr:uid="{00000000-0005-0000-0000-000089060000}"/>
    <cellStyle name="40% - Ênfase2 10 2" xfId="1677" xr:uid="{00000000-0005-0000-0000-00008A060000}"/>
    <cellStyle name="40% - Ênfase2 10 2 2" xfId="1678" xr:uid="{00000000-0005-0000-0000-00008B060000}"/>
    <cellStyle name="40% - Ênfase2 10 3" xfId="1679" xr:uid="{00000000-0005-0000-0000-00008C060000}"/>
    <cellStyle name="40% - Ênfase2 10 3 2" xfId="1680" xr:uid="{00000000-0005-0000-0000-00008D060000}"/>
    <cellStyle name="40% - Ênfase2 10 4" xfId="1681" xr:uid="{00000000-0005-0000-0000-00008E060000}"/>
    <cellStyle name="40% - Ênfase2 100" xfId="1682" xr:uid="{00000000-0005-0000-0000-00008F060000}"/>
    <cellStyle name="40% - Ênfase2 101" xfId="1683" xr:uid="{00000000-0005-0000-0000-000090060000}"/>
    <cellStyle name="40% - Ênfase2 102" xfId="1684" xr:uid="{00000000-0005-0000-0000-000091060000}"/>
    <cellStyle name="40% - Ênfase2 103" xfId="1685" xr:uid="{00000000-0005-0000-0000-000092060000}"/>
    <cellStyle name="40% - Ênfase2 104" xfId="1686" xr:uid="{00000000-0005-0000-0000-000093060000}"/>
    <cellStyle name="40% - Ênfase2 105" xfId="1687" xr:uid="{00000000-0005-0000-0000-000094060000}"/>
    <cellStyle name="40% - Ênfase2 106" xfId="1688" xr:uid="{00000000-0005-0000-0000-000095060000}"/>
    <cellStyle name="40% - Ênfase2 107" xfId="1689" xr:uid="{00000000-0005-0000-0000-000096060000}"/>
    <cellStyle name="40% - Ênfase2 108" xfId="1690" xr:uid="{00000000-0005-0000-0000-000097060000}"/>
    <cellStyle name="40% - Ênfase2 109" xfId="1691" xr:uid="{00000000-0005-0000-0000-000098060000}"/>
    <cellStyle name="40% - Ênfase2 11" xfId="1692" xr:uid="{00000000-0005-0000-0000-000099060000}"/>
    <cellStyle name="40% - Ênfase2 11 2" xfId="1693" xr:uid="{00000000-0005-0000-0000-00009A060000}"/>
    <cellStyle name="40% - Ênfase2 11 2 2" xfId="1694" xr:uid="{00000000-0005-0000-0000-00009B060000}"/>
    <cellStyle name="40% - Ênfase2 11 3" xfId="1695" xr:uid="{00000000-0005-0000-0000-00009C060000}"/>
    <cellStyle name="40% - Ênfase2 11 3 2" xfId="1696" xr:uid="{00000000-0005-0000-0000-00009D060000}"/>
    <cellStyle name="40% - Ênfase2 11 4" xfId="1697" xr:uid="{00000000-0005-0000-0000-00009E060000}"/>
    <cellStyle name="40% - Ênfase2 110" xfId="1698" xr:uid="{00000000-0005-0000-0000-00009F060000}"/>
    <cellStyle name="40% - Ênfase2 111" xfId="1699" xr:uid="{00000000-0005-0000-0000-0000A0060000}"/>
    <cellStyle name="40% - Ênfase2 112" xfId="1700" xr:uid="{00000000-0005-0000-0000-0000A1060000}"/>
    <cellStyle name="40% - Ênfase2 113" xfId="1701" xr:uid="{00000000-0005-0000-0000-0000A2060000}"/>
    <cellStyle name="40% - Ênfase2 114" xfId="1702" xr:uid="{00000000-0005-0000-0000-0000A3060000}"/>
    <cellStyle name="40% - Ênfase2 115" xfId="1703" xr:uid="{00000000-0005-0000-0000-0000A4060000}"/>
    <cellStyle name="40% - Ênfase2 116" xfId="1704" xr:uid="{00000000-0005-0000-0000-0000A5060000}"/>
    <cellStyle name="40% - Ênfase2 117" xfId="1705" xr:uid="{00000000-0005-0000-0000-0000A6060000}"/>
    <cellStyle name="40% - Ênfase2 118" xfId="1706" xr:uid="{00000000-0005-0000-0000-0000A7060000}"/>
    <cellStyle name="40% - Ênfase2 119" xfId="1707" xr:uid="{00000000-0005-0000-0000-0000A8060000}"/>
    <cellStyle name="40% - Ênfase2 12" xfId="1708" xr:uid="{00000000-0005-0000-0000-0000A9060000}"/>
    <cellStyle name="40% - Ênfase2 12 2" xfId="1709" xr:uid="{00000000-0005-0000-0000-0000AA060000}"/>
    <cellStyle name="40% - Ênfase2 12 2 2" xfId="1710" xr:uid="{00000000-0005-0000-0000-0000AB060000}"/>
    <cellStyle name="40% - Ênfase2 12 3" xfId="1711" xr:uid="{00000000-0005-0000-0000-0000AC060000}"/>
    <cellStyle name="40% - Ênfase2 12 3 2" xfId="1712" xr:uid="{00000000-0005-0000-0000-0000AD060000}"/>
    <cellStyle name="40% - Ênfase2 12 4" xfId="1713" xr:uid="{00000000-0005-0000-0000-0000AE060000}"/>
    <cellStyle name="40% - Ênfase2 120" xfId="1714" xr:uid="{00000000-0005-0000-0000-0000AF060000}"/>
    <cellStyle name="40% - Ênfase2 13" xfId="1715" xr:uid="{00000000-0005-0000-0000-0000B0060000}"/>
    <cellStyle name="40% - Ênfase2 13 2" xfId="1716" xr:uid="{00000000-0005-0000-0000-0000B1060000}"/>
    <cellStyle name="40% - Ênfase2 13 2 2" xfId="1717" xr:uid="{00000000-0005-0000-0000-0000B2060000}"/>
    <cellStyle name="40% - Ênfase2 13 3" xfId="1718" xr:uid="{00000000-0005-0000-0000-0000B3060000}"/>
    <cellStyle name="40% - Ênfase2 13 3 2" xfId="1719" xr:uid="{00000000-0005-0000-0000-0000B4060000}"/>
    <cellStyle name="40% - Ênfase2 13 4" xfId="1720" xr:uid="{00000000-0005-0000-0000-0000B5060000}"/>
    <cellStyle name="40% - Ênfase2 14" xfId="1721" xr:uid="{00000000-0005-0000-0000-0000B6060000}"/>
    <cellStyle name="40% - Ênfase2 14 2" xfId="1722" xr:uid="{00000000-0005-0000-0000-0000B7060000}"/>
    <cellStyle name="40% - Ênfase2 14 2 2" xfId="1723" xr:uid="{00000000-0005-0000-0000-0000B8060000}"/>
    <cellStyle name="40% - Ênfase2 14 3" xfId="1724" xr:uid="{00000000-0005-0000-0000-0000B9060000}"/>
    <cellStyle name="40% - Ênfase2 14 3 2" xfId="1725" xr:uid="{00000000-0005-0000-0000-0000BA060000}"/>
    <cellStyle name="40% - Ênfase2 14 4" xfId="1726" xr:uid="{00000000-0005-0000-0000-0000BB060000}"/>
    <cellStyle name="40% - Ênfase2 15" xfId="1727" xr:uid="{00000000-0005-0000-0000-0000BC060000}"/>
    <cellStyle name="40% - Ênfase2 15 2" xfId="1728" xr:uid="{00000000-0005-0000-0000-0000BD060000}"/>
    <cellStyle name="40% - Ênfase2 16" xfId="1729" xr:uid="{00000000-0005-0000-0000-0000BE060000}"/>
    <cellStyle name="40% - Ênfase2 16 2" xfId="1730" xr:uid="{00000000-0005-0000-0000-0000BF060000}"/>
    <cellStyle name="40% - Ênfase2 17" xfId="1731" xr:uid="{00000000-0005-0000-0000-0000C0060000}"/>
    <cellStyle name="40% - Ênfase2 17 2" xfId="1732" xr:uid="{00000000-0005-0000-0000-0000C1060000}"/>
    <cellStyle name="40% - Ênfase2 18" xfId="1733" xr:uid="{00000000-0005-0000-0000-0000C2060000}"/>
    <cellStyle name="40% - Ênfase2 18 2" xfId="1734" xr:uid="{00000000-0005-0000-0000-0000C3060000}"/>
    <cellStyle name="40% - Ênfase2 19" xfId="1735" xr:uid="{00000000-0005-0000-0000-0000C4060000}"/>
    <cellStyle name="40% - Ênfase2 19 2" xfId="1736" xr:uid="{00000000-0005-0000-0000-0000C5060000}"/>
    <cellStyle name="40% - Ênfase2 2" xfId="1737" xr:uid="{00000000-0005-0000-0000-0000C6060000}"/>
    <cellStyle name="40% - Ênfase2 2 2" xfId="1738" xr:uid="{00000000-0005-0000-0000-0000C7060000}"/>
    <cellStyle name="40% - Ênfase2 2 2 2" xfId="1739" xr:uid="{00000000-0005-0000-0000-0000C8060000}"/>
    <cellStyle name="40% - Ênfase2 2 2 2 2" xfId="1740" xr:uid="{00000000-0005-0000-0000-0000C9060000}"/>
    <cellStyle name="40% - Ênfase2 2 2 2 2 2" xfId="1741" xr:uid="{00000000-0005-0000-0000-0000CA060000}"/>
    <cellStyle name="40% - Ênfase2 2 2 2 2 2 2" xfId="1742" xr:uid="{00000000-0005-0000-0000-0000CB060000}"/>
    <cellStyle name="40% - Ênfase2 2 2 2 2 2 2 2" xfId="1743" xr:uid="{00000000-0005-0000-0000-0000CC060000}"/>
    <cellStyle name="40% - Ênfase2 2 2 2 2 2 3" xfId="1744" xr:uid="{00000000-0005-0000-0000-0000CD060000}"/>
    <cellStyle name="40% - Ênfase2 2 2 2 2 3" xfId="1745" xr:uid="{00000000-0005-0000-0000-0000CE060000}"/>
    <cellStyle name="40% - Ênfase2 2 2 2 2 3 2" xfId="1746" xr:uid="{00000000-0005-0000-0000-0000CF060000}"/>
    <cellStyle name="40% - Ênfase2 2 2 2 3" xfId="1747" xr:uid="{00000000-0005-0000-0000-0000D0060000}"/>
    <cellStyle name="40% - Ênfase2 2 2 2 3 2" xfId="1748" xr:uid="{00000000-0005-0000-0000-0000D1060000}"/>
    <cellStyle name="40% - Ênfase2 2 2 2_BD" xfId="1749" xr:uid="{00000000-0005-0000-0000-0000D2060000}"/>
    <cellStyle name="40% - Ênfase2 2 2 3" xfId="1750" xr:uid="{00000000-0005-0000-0000-0000D3060000}"/>
    <cellStyle name="40% - Ênfase2 2 2 3 2" xfId="1751" xr:uid="{00000000-0005-0000-0000-0000D4060000}"/>
    <cellStyle name="40% - Ênfase2 2 2 4" xfId="1752" xr:uid="{00000000-0005-0000-0000-0000D5060000}"/>
    <cellStyle name="40% - Ênfase2 2 2 5" xfId="1753" xr:uid="{00000000-0005-0000-0000-0000D6060000}"/>
    <cellStyle name="40% - Ênfase2 2 2 5 2" xfId="1754" xr:uid="{00000000-0005-0000-0000-0000D7060000}"/>
    <cellStyle name="40% - Ênfase2 2 2_BD" xfId="1755" xr:uid="{00000000-0005-0000-0000-0000D8060000}"/>
    <cellStyle name="40% - Ênfase2 2 3" xfId="1756" xr:uid="{00000000-0005-0000-0000-0000D9060000}"/>
    <cellStyle name="40% - Ênfase2 2 3 2" xfId="1757" xr:uid="{00000000-0005-0000-0000-0000DA060000}"/>
    <cellStyle name="40% - Ênfase2 2 3_BD" xfId="1758" xr:uid="{00000000-0005-0000-0000-0000DB060000}"/>
    <cellStyle name="40% - Ênfase2 2 4" xfId="1759" xr:uid="{00000000-0005-0000-0000-0000DC060000}"/>
    <cellStyle name="40% - Ênfase2 2 5" xfId="1760" xr:uid="{00000000-0005-0000-0000-0000DD060000}"/>
    <cellStyle name="40% - Ênfase2 2 6" xfId="1761" xr:uid="{00000000-0005-0000-0000-0000DE060000}"/>
    <cellStyle name="40% - Ênfase2 2 6 2" xfId="1762" xr:uid="{00000000-0005-0000-0000-0000DF060000}"/>
    <cellStyle name="40% - Ênfase2 2_BD" xfId="1763" xr:uid="{00000000-0005-0000-0000-0000E0060000}"/>
    <cellStyle name="40% - Ênfase2 20" xfId="1764" xr:uid="{00000000-0005-0000-0000-0000E1060000}"/>
    <cellStyle name="40% - Ênfase2 20 2" xfId="1765" xr:uid="{00000000-0005-0000-0000-0000E2060000}"/>
    <cellStyle name="40% - Ênfase2 21" xfId="1766" xr:uid="{00000000-0005-0000-0000-0000E3060000}"/>
    <cellStyle name="40% - Ênfase2 21 2" xfId="1767" xr:uid="{00000000-0005-0000-0000-0000E4060000}"/>
    <cellStyle name="40% - Ênfase2 22" xfId="1768" xr:uid="{00000000-0005-0000-0000-0000E5060000}"/>
    <cellStyle name="40% - Ênfase2 22 2" xfId="1769" xr:uid="{00000000-0005-0000-0000-0000E6060000}"/>
    <cellStyle name="40% - Ênfase2 23" xfId="1770" xr:uid="{00000000-0005-0000-0000-0000E7060000}"/>
    <cellStyle name="40% - Ênfase2 23 2" xfId="1771" xr:uid="{00000000-0005-0000-0000-0000E8060000}"/>
    <cellStyle name="40% - Ênfase2 24" xfId="1772" xr:uid="{00000000-0005-0000-0000-0000E9060000}"/>
    <cellStyle name="40% - Ênfase2 24 2" xfId="1773" xr:uid="{00000000-0005-0000-0000-0000EA060000}"/>
    <cellStyle name="40% - Ênfase2 25" xfId="1774" xr:uid="{00000000-0005-0000-0000-0000EB060000}"/>
    <cellStyle name="40% - Ênfase2 25 2" xfId="1775" xr:uid="{00000000-0005-0000-0000-0000EC060000}"/>
    <cellStyle name="40% - Ênfase2 26" xfId="1776" xr:uid="{00000000-0005-0000-0000-0000ED060000}"/>
    <cellStyle name="40% - Ênfase2 26 2" xfId="1777" xr:uid="{00000000-0005-0000-0000-0000EE060000}"/>
    <cellStyle name="40% - Ênfase2 27" xfId="1778" xr:uid="{00000000-0005-0000-0000-0000EF060000}"/>
    <cellStyle name="40% - Ênfase2 27 2" xfId="1779" xr:uid="{00000000-0005-0000-0000-0000F0060000}"/>
    <cellStyle name="40% - Ênfase2 28" xfId="1780" xr:uid="{00000000-0005-0000-0000-0000F1060000}"/>
    <cellStyle name="40% - Ênfase2 28 2" xfId="1781" xr:uid="{00000000-0005-0000-0000-0000F2060000}"/>
    <cellStyle name="40% - Ênfase2 29" xfId="1782" xr:uid="{00000000-0005-0000-0000-0000F3060000}"/>
    <cellStyle name="40% - Ênfase2 3" xfId="1783" xr:uid="{00000000-0005-0000-0000-0000F4060000}"/>
    <cellStyle name="40% - Ênfase2 3 2" xfId="1784" xr:uid="{00000000-0005-0000-0000-0000F5060000}"/>
    <cellStyle name="40% - Ênfase2 3 2 2" xfId="1785" xr:uid="{00000000-0005-0000-0000-0000F6060000}"/>
    <cellStyle name="40% - Ênfase2 3 2_BD" xfId="1786" xr:uid="{00000000-0005-0000-0000-0000F7060000}"/>
    <cellStyle name="40% - Ênfase2 3 3" xfId="1787" xr:uid="{00000000-0005-0000-0000-0000F8060000}"/>
    <cellStyle name="40% - Ênfase2 3 3 2" xfId="1788" xr:uid="{00000000-0005-0000-0000-0000F9060000}"/>
    <cellStyle name="40% - Ênfase2 3 3_BD" xfId="1789" xr:uid="{00000000-0005-0000-0000-0000FA060000}"/>
    <cellStyle name="40% - Ênfase2 3 4" xfId="1790" xr:uid="{00000000-0005-0000-0000-0000FB060000}"/>
    <cellStyle name="40% - Ênfase2 30" xfId="1791" xr:uid="{00000000-0005-0000-0000-0000FC060000}"/>
    <cellStyle name="40% - Ênfase2 31" xfId="1792" xr:uid="{00000000-0005-0000-0000-0000FD060000}"/>
    <cellStyle name="40% - Ênfase2 32" xfId="1793" xr:uid="{00000000-0005-0000-0000-0000FE060000}"/>
    <cellStyle name="40% - Ênfase2 33" xfId="1794" xr:uid="{00000000-0005-0000-0000-0000FF060000}"/>
    <cellStyle name="40% - Ênfase2 34" xfId="1795" xr:uid="{00000000-0005-0000-0000-000000070000}"/>
    <cellStyle name="40% - Ênfase2 35" xfId="1796" xr:uid="{00000000-0005-0000-0000-000001070000}"/>
    <cellStyle name="40% - Ênfase2 36" xfId="1797" xr:uid="{00000000-0005-0000-0000-000002070000}"/>
    <cellStyle name="40% - Ênfase2 36 2" xfId="1798" xr:uid="{00000000-0005-0000-0000-000003070000}"/>
    <cellStyle name="40% - Ênfase2 36 3" xfId="1799" xr:uid="{00000000-0005-0000-0000-000004070000}"/>
    <cellStyle name="40% - Ênfase2 36 4" xfId="1800" xr:uid="{00000000-0005-0000-0000-000005070000}"/>
    <cellStyle name="40% - Ênfase2 37" xfId="1801" xr:uid="{00000000-0005-0000-0000-000006070000}"/>
    <cellStyle name="40% - Ênfase2 37 2" xfId="1802" xr:uid="{00000000-0005-0000-0000-000007070000}"/>
    <cellStyle name="40% - Ênfase2 37 3" xfId="1803" xr:uid="{00000000-0005-0000-0000-000008070000}"/>
    <cellStyle name="40% - Ênfase2 37 4" xfId="1804" xr:uid="{00000000-0005-0000-0000-000009070000}"/>
    <cellStyle name="40% - Ênfase2 38" xfId="1805" xr:uid="{00000000-0005-0000-0000-00000A070000}"/>
    <cellStyle name="40% - Ênfase2 38 2" xfId="1806" xr:uid="{00000000-0005-0000-0000-00000B070000}"/>
    <cellStyle name="40% - Ênfase2 38 3" xfId="1807" xr:uid="{00000000-0005-0000-0000-00000C070000}"/>
    <cellStyle name="40% - Ênfase2 38 4" xfId="1808" xr:uid="{00000000-0005-0000-0000-00000D070000}"/>
    <cellStyle name="40% - Ênfase2 39" xfId="1809" xr:uid="{00000000-0005-0000-0000-00000E070000}"/>
    <cellStyle name="40% - Ênfase2 39 2" xfId="1810" xr:uid="{00000000-0005-0000-0000-00000F070000}"/>
    <cellStyle name="40% - Ênfase2 39 3" xfId="1811" xr:uid="{00000000-0005-0000-0000-000010070000}"/>
    <cellStyle name="40% - Ênfase2 39 4" xfId="1812" xr:uid="{00000000-0005-0000-0000-000011070000}"/>
    <cellStyle name="40% - Ênfase2 4" xfId="1813" xr:uid="{00000000-0005-0000-0000-000012070000}"/>
    <cellStyle name="40% - Ênfase2 4 2" xfId="1814" xr:uid="{00000000-0005-0000-0000-000013070000}"/>
    <cellStyle name="40% - Ênfase2 4 2 2" xfId="1815" xr:uid="{00000000-0005-0000-0000-000014070000}"/>
    <cellStyle name="40% - Ênfase2 4 2_BD" xfId="1816" xr:uid="{00000000-0005-0000-0000-000015070000}"/>
    <cellStyle name="40% - Ênfase2 4 3" xfId="1817" xr:uid="{00000000-0005-0000-0000-000016070000}"/>
    <cellStyle name="40% - Ênfase2 4 3 2" xfId="1818" xr:uid="{00000000-0005-0000-0000-000017070000}"/>
    <cellStyle name="40% - Ênfase2 4 3_BD" xfId="1819" xr:uid="{00000000-0005-0000-0000-000018070000}"/>
    <cellStyle name="40% - Ênfase2 4 4" xfId="1820" xr:uid="{00000000-0005-0000-0000-000019070000}"/>
    <cellStyle name="40% - Ênfase2 40" xfId="1821" xr:uid="{00000000-0005-0000-0000-00001A070000}"/>
    <cellStyle name="40% - Ênfase2 40 2" xfId="1822" xr:uid="{00000000-0005-0000-0000-00001B070000}"/>
    <cellStyle name="40% - Ênfase2 41" xfId="1823" xr:uid="{00000000-0005-0000-0000-00001C070000}"/>
    <cellStyle name="40% - Ênfase2 42" xfId="1824" xr:uid="{00000000-0005-0000-0000-00001D070000}"/>
    <cellStyle name="40% - Ênfase2 43" xfId="1825" xr:uid="{00000000-0005-0000-0000-00001E070000}"/>
    <cellStyle name="40% - Ênfase2 44" xfId="1826" xr:uid="{00000000-0005-0000-0000-00001F070000}"/>
    <cellStyle name="40% - Ênfase2 45" xfId="1827" xr:uid="{00000000-0005-0000-0000-000020070000}"/>
    <cellStyle name="40% - Ênfase2 46" xfId="1828" xr:uid="{00000000-0005-0000-0000-000021070000}"/>
    <cellStyle name="40% - Ênfase2 47" xfId="1829" xr:uid="{00000000-0005-0000-0000-000022070000}"/>
    <cellStyle name="40% - Ênfase2 48" xfId="1830" xr:uid="{00000000-0005-0000-0000-000023070000}"/>
    <cellStyle name="40% - Ênfase2 49" xfId="1831" xr:uid="{00000000-0005-0000-0000-000024070000}"/>
    <cellStyle name="40% - Ênfase2 5" xfId="1832" xr:uid="{00000000-0005-0000-0000-000025070000}"/>
    <cellStyle name="40% - Ênfase2 5 2" xfId="1833" xr:uid="{00000000-0005-0000-0000-000026070000}"/>
    <cellStyle name="40% - Ênfase2 5 2 2" xfId="1834" xr:uid="{00000000-0005-0000-0000-000027070000}"/>
    <cellStyle name="40% - Ênfase2 5 2_BD" xfId="1835" xr:uid="{00000000-0005-0000-0000-000028070000}"/>
    <cellStyle name="40% - Ênfase2 5 3" xfId="1836" xr:uid="{00000000-0005-0000-0000-000029070000}"/>
    <cellStyle name="40% - Ênfase2 5 3 2" xfId="1837" xr:uid="{00000000-0005-0000-0000-00002A070000}"/>
    <cellStyle name="40% - Ênfase2 5 4" xfId="1838" xr:uid="{00000000-0005-0000-0000-00002B070000}"/>
    <cellStyle name="40% - Ênfase2 50" xfId="1839" xr:uid="{00000000-0005-0000-0000-00002C070000}"/>
    <cellStyle name="40% - Ênfase2 51" xfId="1840" xr:uid="{00000000-0005-0000-0000-00002D070000}"/>
    <cellStyle name="40% - Ênfase2 52" xfId="1841" xr:uid="{00000000-0005-0000-0000-00002E070000}"/>
    <cellStyle name="40% - Ênfase2 53" xfId="1842" xr:uid="{00000000-0005-0000-0000-00002F070000}"/>
    <cellStyle name="40% - Ênfase2 54" xfId="1843" xr:uid="{00000000-0005-0000-0000-000030070000}"/>
    <cellStyle name="40% - Ênfase2 55" xfId="1844" xr:uid="{00000000-0005-0000-0000-000031070000}"/>
    <cellStyle name="40% - Ênfase2 56" xfId="1845" xr:uid="{00000000-0005-0000-0000-000032070000}"/>
    <cellStyle name="40% - Ênfase2 57" xfId="1846" xr:uid="{00000000-0005-0000-0000-000033070000}"/>
    <cellStyle name="40% - Ênfase2 58" xfId="1847" xr:uid="{00000000-0005-0000-0000-000034070000}"/>
    <cellStyle name="40% - Ênfase2 59" xfId="1848" xr:uid="{00000000-0005-0000-0000-000035070000}"/>
    <cellStyle name="40% - Ênfase2 6" xfId="1849" xr:uid="{00000000-0005-0000-0000-000036070000}"/>
    <cellStyle name="40% - Ênfase2 6 2" xfId="1850" xr:uid="{00000000-0005-0000-0000-000037070000}"/>
    <cellStyle name="40% - Ênfase2 6 2 2" xfId="1851" xr:uid="{00000000-0005-0000-0000-000038070000}"/>
    <cellStyle name="40% - Ênfase2 6 2_BD" xfId="1852" xr:uid="{00000000-0005-0000-0000-000039070000}"/>
    <cellStyle name="40% - Ênfase2 6 3" xfId="1853" xr:uid="{00000000-0005-0000-0000-00003A070000}"/>
    <cellStyle name="40% - Ênfase2 6 3 2" xfId="1854" xr:uid="{00000000-0005-0000-0000-00003B070000}"/>
    <cellStyle name="40% - Ênfase2 6 4" xfId="1855" xr:uid="{00000000-0005-0000-0000-00003C070000}"/>
    <cellStyle name="40% - Ênfase2 60" xfId="1856" xr:uid="{00000000-0005-0000-0000-00003D070000}"/>
    <cellStyle name="40% - Ênfase2 61" xfId="1857" xr:uid="{00000000-0005-0000-0000-00003E070000}"/>
    <cellStyle name="40% - Ênfase2 62" xfId="1858" xr:uid="{00000000-0005-0000-0000-00003F070000}"/>
    <cellStyle name="40% - Ênfase2 63" xfId="1859" xr:uid="{00000000-0005-0000-0000-000040070000}"/>
    <cellStyle name="40% - Ênfase2 64" xfId="1860" xr:uid="{00000000-0005-0000-0000-000041070000}"/>
    <cellStyle name="40% - Ênfase2 65" xfId="1861" xr:uid="{00000000-0005-0000-0000-000042070000}"/>
    <cellStyle name="40% - Ênfase2 66" xfId="1862" xr:uid="{00000000-0005-0000-0000-000043070000}"/>
    <cellStyle name="40% - Ênfase2 67" xfId="1863" xr:uid="{00000000-0005-0000-0000-000044070000}"/>
    <cellStyle name="40% - Ênfase2 68" xfId="1864" xr:uid="{00000000-0005-0000-0000-000045070000}"/>
    <cellStyle name="40% - Ênfase2 69" xfId="1865" xr:uid="{00000000-0005-0000-0000-000046070000}"/>
    <cellStyle name="40% - Ênfase2 7" xfId="1866" xr:uid="{00000000-0005-0000-0000-000047070000}"/>
    <cellStyle name="40% - Ênfase2 7 2" xfId="1867" xr:uid="{00000000-0005-0000-0000-000048070000}"/>
    <cellStyle name="40% - Ênfase2 7 2 2" xfId="1868" xr:uid="{00000000-0005-0000-0000-000049070000}"/>
    <cellStyle name="40% - Ênfase2 7 2_BD" xfId="1869" xr:uid="{00000000-0005-0000-0000-00004A070000}"/>
    <cellStyle name="40% - Ênfase2 7 3" xfId="1870" xr:uid="{00000000-0005-0000-0000-00004B070000}"/>
    <cellStyle name="40% - Ênfase2 7 3 2" xfId="1871" xr:uid="{00000000-0005-0000-0000-00004C070000}"/>
    <cellStyle name="40% - Ênfase2 7 4" xfId="1872" xr:uid="{00000000-0005-0000-0000-00004D070000}"/>
    <cellStyle name="40% - Ênfase2 70" xfId="1873" xr:uid="{00000000-0005-0000-0000-00004E070000}"/>
    <cellStyle name="40% - Ênfase2 71" xfId="1874" xr:uid="{00000000-0005-0000-0000-00004F070000}"/>
    <cellStyle name="40% - Ênfase2 72" xfId="1875" xr:uid="{00000000-0005-0000-0000-000050070000}"/>
    <cellStyle name="40% - Ênfase2 73" xfId="1876" xr:uid="{00000000-0005-0000-0000-000051070000}"/>
    <cellStyle name="40% - Ênfase2 74" xfId="1877" xr:uid="{00000000-0005-0000-0000-000052070000}"/>
    <cellStyle name="40% - Ênfase2 75" xfId="1878" xr:uid="{00000000-0005-0000-0000-000053070000}"/>
    <cellStyle name="40% - Ênfase2 76" xfId="1879" xr:uid="{00000000-0005-0000-0000-000054070000}"/>
    <cellStyle name="40% - Ênfase2 77" xfId="1880" xr:uid="{00000000-0005-0000-0000-000055070000}"/>
    <cellStyle name="40% - Ênfase2 78" xfId="1881" xr:uid="{00000000-0005-0000-0000-000056070000}"/>
    <cellStyle name="40% - Ênfase2 79" xfId="1882" xr:uid="{00000000-0005-0000-0000-000057070000}"/>
    <cellStyle name="40% - Ênfase2 8" xfId="1883" xr:uid="{00000000-0005-0000-0000-000058070000}"/>
    <cellStyle name="40% - Ênfase2 8 2" xfId="1884" xr:uid="{00000000-0005-0000-0000-000059070000}"/>
    <cellStyle name="40% - Ênfase2 8 2 2" xfId="1885" xr:uid="{00000000-0005-0000-0000-00005A070000}"/>
    <cellStyle name="40% - Ênfase2 8 3" xfId="1886" xr:uid="{00000000-0005-0000-0000-00005B070000}"/>
    <cellStyle name="40% - Ênfase2 8 3 2" xfId="1887" xr:uid="{00000000-0005-0000-0000-00005C070000}"/>
    <cellStyle name="40% - Ênfase2 8 4" xfId="1888" xr:uid="{00000000-0005-0000-0000-00005D070000}"/>
    <cellStyle name="40% - Ênfase2 80" xfId="1889" xr:uid="{00000000-0005-0000-0000-00005E070000}"/>
    <cellStyle name="40% - Ênfase2 81" xfId="1890" xr:uid="{00000000-0005-0000-0000-00005F070000}"/>
    <cellStyle name="40% - Ênfase2 82" xfId="1891" xr:uid="{00000000-0005-0000-0000-000060070000}"/>
    <cellStyle name="40% - Ênfase2 83" xfId="1892" xr:uid="{00000000-0005-0000-0000-000061070000}"/>
    <cellStyle name="40% - Ênfase2 84" xfId="1893" xr:uid="{00000000-0005-0000-0000-000062070000}"/>
    <cellStyle name="40% - Ênfase2 85" xfId="1894" xr:uid="{00000000-0005-0000-0000-000063070000}"/>
    <cellStyle name="40% - Ênfase2 86" xfId="1895" xr:uid="{00000000-0005-0000-0000-000064070000}"/>
    <cellStyle name="40% - Ênfase2 87" xfId="1896" xr:uid="{00000000-0005-0000-0000-000065070000}"/>
    <cellStyle name="40% - Ênfase2 88" xfId="1897" xr:uid="{00000000-0005-0000-0000-000066070000}"/>
    <cellStyle name="40% - Ênfase2 89" xfId="1898" xr:uid="{00000000-0005-0000-0000-000067070000}"/>
    <cellStyle name="40% - Ênfase2 9" xfId="1899" xr:uid="{00000000-0005-0000-0000-000068070000}"/>
    <cellStyle name="40% - Ênfase2 9 2" xfId="1900" xr:uid="{00000000-0005-0000-0000-000069070000}"/>
    <cellStyle name="40% - Ênfase2 9 2 2" xfId="1901" xr:uid="{00000000-0005-0000-0000-00006A070000}"/>
    <cellStyle name="40% - Ênfase2 9 3" xfId="1902" xr:uid="{00000000-0005-0000-0000-00006B070000}"/>
    <cellStyle name="40% - Ênfase2 9 3 2" xfId="1903" xr:uid="{00000000-0005-0000-0000-00006C070000}"/>
    <cellStyle name="40% - Ênfase2 9 4" xfId="1904" xr:uid="{00000000-0005-0000-0000-00006D070000}"/>
    <cellStyle name="40% - Ênfase2 90" xfId="1905" xr:uid="{00000000-0005-0000-0000-00006E070000}"/>
    <cellStyle name="40% - Ênfase2 91" xfId="1906" xr:uid="{00000000-0005-0000-0000-00006F070000}"/>
    <cellStyle name="40% - Ênfase2 92" xfId="1907" xr:uid="{00000000-0005-0000-0000-000070070000}"/>
    <cellStyle name="40% - Ênfase2 93" xfId="1908" xr:uid="{00000000-0005-0000-0000-000071070000}"/>
    <cellStyle name="40% - Ênfase2 94" xfId="1909" xr:uid="{00000000-0005-0000-0000-000072070000}"/>
    <cellStyle name="40% - Ênfase2 95" xfId="1910" xr:uid="{00000000-0005-0000-0000-000073070000}"/>
    <cellStyle name="40% - Ênfase2 96" xfId="1911" xr:uid="{00000000-0005-0000-0000-000074070000}"/>
    <cellStyle name="40% - Ênfase2 97" xfId="1912" xr:uid="{00000000-0005-0000-0000-000075070000}"/>
    <cellStyle name="40% - Ênfase2 98" xfId="1913" xr:uid="{00000000-0005-0000-0000-000076070000}"/>
    <cellStyle name="40% - Ênfase2 99" xfId="1914" xr:uid="{00000000-0005-0000-0000-000077070000}"/>
    <cellStyle name="40% - Ênfase3 10" xfId="1915" xr:uid="{00000000-0005-0000-0000-000078070000}"/>
    <cellStyle name="40% - Ênfase3 10 2" xfId="1916" xr:uid="{00000000-0005-0000-0000-000079070000}"/>
    <cellStyle name="40% - Ênfase3 10 2 2" xfId="1917" xr:uid="{00000000-0005-0000-0000-00007A070000}"/>
    <cellStyle name="40% - Ênfase3 10 3" xfId="1918" xr:uid="{00000000-0005-0000-0000-00007B070000}"/>
    <cellStyle name="40% - Ênfase3 10 3 2" xfId="1919" xr:uid="{00000000-0005-0000-0000-00007C070000}"/>
    <cellStyle name="40% - Ênfase3 10 4" xfId="1920" xr:uid="{00000000-0005-0000-0000-00007D070000}"/>
    <cellStyle name="40% - Ênfase3 100" xfId="1921" xr:uid="{00000000-0005-0000-0000-00007E070000}"/>
    <cellStyle name="40% - Ênfase3 101" xfId="1922" xr:uid="{00000000-0005-0000-0000-00007F070000}"/>
    <cellStyle name="40% - Ênfase3 102" xfId="1923" xr:uid="{00000000-0005-0000-0000-000080070000}"/>
    <cellStyle name="40% - Ênfase3 103" xfId="1924" xr:uid="{00000000-0005-0000-0000-000081070000}"/>
    <cellStyle name="40% - Ênfase3 104" xfId="1925" xr:uid="{00000000-0005-0000-0000-000082070000}"/>
    <cellStyle name="40% - Ênfase3 105" xfId="1926" xr:uid="{00000000-0005-0000-0000-000083070000}"/>
    <cellStyle name="40% - Ênfase3 106" xfId="1927" xr:uid="{00000000-0005-0000-0000-000084070000}"/>
    <cellStyle name="40% - Ênfase3 107" xfId="1928" xr:uid="{00000000-0005-0000-0000-000085070000}"/>
    <cellStyle name="40% - Ênfase3 108" xfId="1929" xr:uid="{00000000-0005-0000-0000-000086070000}"/>
    <cellStyle name="40% - Ênfase3 109" xfId="1930" xr:uid="{00000000-0005-0000-0000-000087070000}"/>
    <cellStyle name="40% - Ênfase3 11" xfId="1931" xr:uid="{00000000-0005-0000-0000-000088070000}"/>
    <cellStyle name="40% - Ênfase3 11 2" xfId="1932" xr:uid="{00000000-0005-0000-0000-000089070000}"/>
    <cellStyle name="40% - Ênfase3 11 2 2" xfId="1933" xr:uid="{00000000-0005-0000-0000-00008A070000}"/>
    <cellStyle name="40% - Ênfase3 11 3" xfId="1934" xr:uid="{00000000-0005-0000-0000-00008B070000}"/>
    <cellStyle name="40% - Ênfase3 11 3 2" xfId="1935" xr:uid="{00000000-0005-0000-0000-00008C070000}"/>
    <cellStyle name="40% - Ênfase3 11 4" xfId="1936" xr:uid="{00000000-0005-0000-0000-00008D070000}"/>
    <cellStyle name="40% - Ênfase3 110" xfId="1937" xr:uid="{00000000-0005-0000-0000-00008E070000}"/>
    <cellStyle name="40% - Ênfase3 111" xfId="1938" xr:uid="{00000000-0005-0000-0000-00008F070000}"/>
    <cellStyle name="40% - Ênfase3 112" xfId="1939" xr:uid="{00000000-0005-0000-0000-000090070000}"/>
    <cellStyle name="40% - Ênfase3 113" xfId="1940" xr:uid="{00000000-0005-0000-0000-000091070000}"/>
    <cellStyle name="40% - Ênfase3 114" xfId="1941" xr:uid="{00000000-0005-0000-0000-000092070000}"/>
    <cellStyle name="40% - Ênfase3 115" xfId="1942" xr:uid="{00000000-0005-0000-0000-000093070000}"/>
    <cellStyle name="40% - Ênfase3 116" xfId="1943" xr:uid="{00000000-0005-0000-0000-000094070000}"/>
    <cellStyle name="40% - Ênfase3 117" xfId="1944" xr:uid="{00000000-0005-0000-0000-000095070000}"/>
    <cellStyle name="40% - Ênfase3 118" xfId="1945" xr:uid="{00000000-0005-0000-0000-000096070000}"/>
    <cellStyle name="40% - Ênfase3 119" xfId="1946" xr:uid="{00000000-0005-0000-0000-000097070000}"/>
    <cellStyle name="40% - Ênfase3 12" xfId="1947" xr:uid="{00000000-0005-0000-0000-000098070000}"/>
    <cellStyle name="40% - Ênfase3 12 2" xfId="1948" xr:uid="{00000000-0005-0000-0000-000099070000}"/>
    <cellStyle name="40% - Ênfase3 12 2 2" xfId="1949" xr:uid="{00000000-0005-0000-0000-00009A070000}"/>
    <cellStyle name="40% - Ênfase3 12 3" xfId="1950" xr:uid="{00000000-0005-0000-0000-00009B070000}"/>
    <cellStyle name="40% - Ênfase3 12 3 2" xfId="1951" xr:uid="{00000000-0005-0000-0000-00009C070000}"/>
    <cellStyle name="40% - Ênfase3 12 4" xfId="1952" xr:uid="{00000000-0005-0000-0000-00009D070000}"/>
    <cellStyle name="40% - Ênfase3 120" xfId="1953" xr:uid="{00000000-0005-0000-0000-00009E070000}"/>
    <cellStyle name="40% - Ênfase3 13" xfId="1954" xr:uid="{00000000-0005-0000-0000-00009F070000}"/>
    <cellStyle name="40% - Ênfase3 13 2" xfId="1955" xr:uid="{00000000-0005-0000-0000-0000A0070000}"/>
    <cellStyle name="40% - Ênfase3 13 2 2" xfId="1956" xr:uid="{00000000-0005-0000-0000-0000A1070000}"/>
    <cellStyle name="40% - Ênfase3 13 3" xfId="1957" xr:uid="{00000000-0005-0000-0000-0000A2070000}"/>
    <cellStyle name="40% - Ênfase3 13 3 2" xfId="1958" xr:uid="{00000000-0005-0000-0000-0000A3070000}"/>
    <cellStyle name="40% - Ênfase3 13 4" xfId="1959" xr:uid="{00000000-0005-0000-0000-0000A4070000}"/>
    <cellStyle name="40% - Ênfase3 14" xfId="1960" xr:uid="{00000000-0005-0000-0000-0000A5070000}"/>
    <cellStyle name="40% - Ênfase3 14 2" xfId="1961" xr:uid="{00000000-0005-0000-0000-0000A6070000}"/>
    <cellStyle name="40% - Ênfase3 14 2 2" xfId="1962" xr:uid="{00000000-0005-0000-0000-0000A7070000}"/>
    <cellStyle name="40% - Ênfase3 14 3" xfId="1963" xr:uid="{00000000-0005-0000-0000-0000A8070000}"/>
    <cellStyle name="40% - Ênfase3 14 3 2" xfId="1964" xr:uid="{00000000-0005-0000-0000-0000A9070000}"/>
    <cellStyle name="40% - Ênfase3 14 4" xfId="1965" xr:uid="{00000000-0005-0000-0000-0000AA070000}"/>
    <cellStyle name="40% - Ênfase3 15" xfId="1966" xr:uid="{00000000-0005-0000-0000-0000AB070000}"/>
    <cellStyle name="40% - Ênfase3 15 2" xfId="1967" xr:uid="{00000000-0005-0000-0000-0000AC070000}"/>
    <cellStyle name="40% - Ênfase3 16" xfId="1968" xr:uid="{00000000-0005-0000-0000-0000AD070000}"/>
    <cellStyle name="40% - Ênfase3 16 2" xfId="1969" xr:uid="{00000000-0005-0000-0000-0000AE070000}"/>
    <cellStyle name="40% - Ênfase3 17" xfId="1970" xr:uid="{00000000-0005-0000-0000-0000AF070000}"/>
    <cellStyle name="40% - Ênfase3 17 2" xfId="1971" xr:uid="{00000000-0005-0000-0000-0000B0070000}"/>
    <cellStyle name="40% - Ênfase3 18" xfId="1972" xr:uid="{00000000-0005-0000-0000-0000B1070000}"/>
    <cellStyle name="40% - Ênfase3 18 2" xfId="1973" xr:uid="{00000000-0005-0000-0000-0000B2070000}"/>
    <cellStyle name="40% - Ênfase3 19" xfId="1974" xr:uid="{00000000-0005-0000-0000-0000B3070000}"/>
    <cellStyle name="40% - Ênfase3 19 2" xfId="1975" xr:uid="{00000000-0005-0000-0000-0000B4070000}"/>
    <cellStyle name="40% - Ênfase3 2" xfId="1976" xr:uid="{00000000-0005-0000-0000-0000B5070000}"/>
    <cellStyle name="40% - Ênfase3 2 2" xfId="1977" xr:uid="{00000000-0005-0000-0000-0000B6070000}"/>
    <cellStyle name="40% - Ênfase3 2 2 2" xfId="1978" xr:uid="{00000000-0005-0000-0000-0000B7070000}"/>
    <cellStyle name="40% - Ênfase3 2 2 2 2" xfId="1979" xr:uid="{00000000-0005-0000-0000-0000B8070000}"/>
    <cellStyle name="40% - Ênfase3 2 2 2 2 2" xfId="1980" xr:uid="{00000000-0005-0000-0000-0000B9070000}"/>
    <cellStyle name="40% - Ênfase3 2 2 2 2 2 2" xfId="1981" xr:uid="{00000000-0005-0000-0000-0000BA070000}"/>
    <cellStyle name="40% - Ênfase3 2 2 2 2 2 2 2" xfId="1982" xr:uid="{00000000-0005-0000-0000-0000BB070000}"/>
    <cellStyle name="40% - Ênfase3 2 2 2 2 2 3" xfId="1983" xr:uid="{00000000-0005-0000-0000-0000BC070000}"/>
    <cellStyle name="40% - Ênfase3 2 2 2 2 3" xfId="1984" xr:uid="{00000000-0005-0000-0000-0000BD070000}"/>
    <cellStyle name="40% - Ênfase3 2 2 2 2 3 2" xfId="1985" xr:uid="{00000000-0005-0000-0000-0000BE070000}"/>
    <cellStyle name="40% - Ênfase3 2 2 2 3" xfId="1986" xr:uid="{00000000-0005-0000-0000-0000BF070000}"/>
    <cellStyle name="40% - Ênfase3 2 2 2 3 2" xfId="1987" xr:uid="{00000000-0005-0000-0000-0000C0070000}"/>
    <cellStyle name="40% - Ênfase3 2 2 2_BD" xfId="1988" xr:uid="{00000000-0005-0000-0000-0000C1070000}"/>
    <cellStyle name="40% - Ênfase3 2 2 3" xfId="1989" xr:uid="{00000000-0005-0000-0000-0000C2070000}"/>
    <cellStyle name="40% - Ênfase3 2 2 3 2" xfId="1990" xr:uid="{00000000-0005-0000-0000-0000C3070000}"/>
    <cellStyle name="40% - Ênfase3 2 2 4" xfId="1991" xr:uid="{00000000-0005-0000-0000-0000C4070000}"/>
    <cellStyle name="40% - Ênfase3 2 2 5" xfId="1992" xr:uid="{00000000-0005-0000-0000-0000C5070000}"/>
    <cellStyle name="40% - Ênfase3 2 2 5 2" xfId="1993" xr:uid="{00000000-0005-0000-0000-0000C6070000}"/>
    <cellStyle name="40% - Ênfase3 2 2_BD" xfId="1994" xr:uid="{00000000-0005-0000-0000-0000C7070000}"/>
    <cellStyle name="40% - Ênfase3 2 3" xfId="1995" xr:uid="{00000000-0005-0000-0000-0000C8070000}"/>
    <cellStyle name="40% - Ênfase3 2 3 2" xfId="1996" xr:uid="{00000000-0005-0000-0000-0000C9070000}"/>
    <cellStyle name="40% - Ênfase3 2 3_BD" xfId="1997" xr:uid="{00000000-0005-0000-0000-0000CA070000}"/>
    <cellStyle name="40% - Ênfase3 2 4" xfId="1998" xr:uid="{00000000-0005-0000-0000-0000CB070000}"/>
    <cellStyle name="40% - Ênfase3 2 5" xfId="1999" xr:uid="{00000000-0005-0000-0000-0000CC070000}"/>
    <cellStyle name="40% - Ênfase3 2 6" xfId="2000" xr:uid="{00000000-0005-0000-0000-0000CD070000}"/>
    <cellStyle name="40% - Ênfase3 2 6 2" xfId="2001" xr:uid="{00000000-0005-0000-0000-0000CE070000}"/>
    <cellStyle name="40% - Ênfase3 2_BD" xfId="2002" xr:uid="{00000000-0005-0000-0000-0000CF070000}"/>
    <cellStyle name="40% - Ênfase3 20" xfId="2003" xr:uid="{00000000-0005-0000-0000-0000D0070000}"/>
    <cellStyle name="40% - Ênfase3 20 2" xfId="2004" xr:uid="{00000000-0005-0000-0000-0000D1070000}"/>
    <cellStyle name="40% - Ênfase3 21" xfId="2005" xr:uid="{00000000-0005-0000-0000-0000D2070000}"/>
    <cellStyle name="40% - Ênfase3 21 2" xfId="2006" xr:uid="{00000000-0005-0000-0000-0000D3070000}"/>
    <cellStyle name="40% - Ênfase3 22" xfId="2007" xr:uid="{00000000-0005-0000-0000-0000D4070000}"/>
    <cellStyle name="40% - Ênfase3 22 2" xfId="2008" xr:uid="{00000000-0005-0000-0000-0000D5070000}"/>
    <cellStyle name="40% - Ênfase3 23" xfId="2009" xr:uid="{00000000-0005-0000-0000-0000D6070000}"/>
    <cellStyle name="40% - Ênfase3 23 2" xfId="2010" xr:uid="{00000000-0005-0000-0000-0000D7070000}"/>
    <cellStyle name="40% - Ênfase3 24" xfId="2011" xr:uid="{00000000-0005-0000-0000-0000D8070000}"/>
    <cellStyle name="40% - Ênfase3 24 2" xfId="2012" xr:uid="{00000000-0005-0000-0000-0000D9070000}"/>
    <cellStyle name="40% - Ênfase3 25" xfId="2013" xr:uid="{00000000-0005-0000-0000-0000DA070000}"/>
    <cellStyle name="40% - Ênfase3 25 2" xfId="2014" xr:uid="{00000000-0005-0000-0000-0000DB070000}"/>
    <cellStyle name="40% - Ênfase3 26" xfId="2015" xr:uid="{00000000-0005-0000-0000-0000DC070000}"/>
    <cellStyle name="40% - Ênfase3 26 2" xfId="2016" xr:uid="{00000000-0005-0000-0000-0000DD070000}"/>
    <cellStyle name="40% - Ênfase3 27" xfId="2017" xr:uid="{00000000-0005-0000-0000-0000DE070000}"/>
    <cellStyle name="40% - Ênfase3 27 2" xfId="2018" xr:uid="{00000000-0005-0000-0000-0000DF070000}"/>
    <cellStyle name="40% - Ênfase3 28" xfId="2019" xr:uid="{00000000-0005-0000-0000-0000E0070000}"/>
    <cellStyle name="40% - Ênfase3 28 2" xfId="2020" xr:uid="{00000000-0005-0000-0000-0000E1070000}"/>
    <cellStyle name="40% - Ênfase3 29" xfId="2021" xr:uid="{00000000-0005-0000-0000-0000E2070000}"/>
    <cellStyle name="40% - Ênfase3 3" xfId="2022" xr:uid="{00000000-0005-0000-0000-0000E3070000}"/>
    <cellStyle name="40% - Ênfase3 3 2" xfId="2023" xr:uid="{00000000-0005-0000-0000-0000E4070000}"/>
    <cellStyle name="40% - Ênfase3 3 2 2" xfId="2024" xr:uid="{00000000-0005-0000-0000-0000E5070000}"/>
    <cellStyle name="40% - Ênfase3 3 2_BD" xfId="2025" xr:uid="{00000000-0005-0000-0000-0000E6070000}"/>
    <cellStyle name="40% - Ênfase3 3 3" xfId="2026" xr:uid="{00000000-0005-0000-0000-0000E7070000}"/>
    <cellStyle name="40% - Ênfase3 3 3 2" xfId="2027" xr:uid="{00000000-0005-0000-0000-0000E8070000}"/>
    <cellStyle name="40% - Ênfase3 3 3_BD" xfId="2028" xr:uid="{00000000-0005-0000-0000-0000E9070000}"/>
    <cellStyle name="40% - Ênfase3 3 4" xfId="2029" xr:uid="{00000000-0005-0000-0000-0000EA070000}"/>
    <cellStyle name="40% - Ênfase3 30" xfId="2030" xr:uid="{00000000-0005-0000-0000-0000EB070000}"/>
    <cellStyle name="40% - Ênfase3 31" xfId="2031" xr:uid="{00000000-0005-0000-0000-0000EC070000}"/>
    <cellStyle name="40% - Ênfase3 32" xfId="2032" xr:uid="{00000000-0005-0000-0000-0000ED070000}"/>
    <cellStyle name="40% - Ênfase3 33" xfId="2033" xr:uid="{00000000-0005-0000-0000-0000EE070000}"/>
    <cellStyle name="40% - Ênfase3 34" xfId="2034" xr:uid="{00000000-0005-0000-0000-0000EF070000}"/>
    <cellStyle name="40% - Ênfase3 35" xfId="2035" xr:uid="{00000000-0005-0000-0000-0000F0070000}"/>
    <cellStyle name="40% - Ênfase3 36" xfId="2036" xr:uid="{00000000-0005-0000-0000-0000F1070000}"/>
    <cellStyle name="40% - Ênfase3 36 2" xfId="2037" xr:uid="{00000000-0005-0000-0000-0000F2070000}"/>
    <cellStyle name="40% - Ênfase3 36 3" xfId="2038" xr:uid="{00000000-0005-0000-0000-0000F3070000}"/>
    <cellStyle name="40% - Ênfase3 36 4" xfId="2039" xr:uid="{00000000-0005-0000-0000-0000F4070000}"/>
    <cellStyle name="40% - Ênfase3 37" xfId="2040" xr:uid="{00000000-0005-0000-0000-0000F5070000}"/>
    <cellStyle name="40% - Ênfase3 37 2" xfId="2041" xr:uid="{00000000-0005-0000-0000-0000F6070000}"/>
    <cellStyle name="40% - Ênfase3 37 3" xfId="2042" xr:uid="{00000000-0005-0000-0000-0000F7070000}"/>
    <cellStyle name="40% - Ênfase3 37 4" xfId="2043" xr:uid="{00000000-0005-0000-0000-0000F8070000}"/>
    <cellStyle name="40% - Ênfase3 38" xfId="2044" xr:uid="{00000000-0005-0000-0000-0000F9070000}"/>
    <cellStyle name="40% - Ênfase3 38 2" xfId="2045" xr:uid="{00000000-0005-0000-0000-0000FA070000}"/>
    <cellStyle name="40% - Ênfase3 38 3" xfId="2046" xr:uid="{00000000-0005-0000-0000-0000FB070000}"/>
    <cellStyle name="40% - Ênfase3 38 4" xfId="2047" xr:uid="{00000000-0005-0000-0000-0000FC070000}"/>
    <cellStyle name="40% - Ênfase3 39" xfId="2048" xr:uid="{00000000-0005-0000-0000-0000FD070000}"/>
    <cellStyle name="40% - Ênfase3 39 2" xfId="2049" xr:uid="{00000000-0005-0000-0000-0000FE070000}"/>
    <cellStyle name="40% - Ênfase3 39 3" xfId="2050" xr:uid="{00000000-0005-0000-0000-0000FF070000}"/>
    <cellStyle name="40% - Ênfase3 39 4" xfId="2051" xr:uid="{00000000-0005-0000-0000-000000080000}"/>
    <cellStyle name="40% - Ênfase3 4" xfId="2052" xr:uid="{00000000-0005-0000-0000-000001080000}"/>
    <cellStyle name="40% - Ênfase3 4 2" xfId="2053" xr:uid="{00000000-0005-0000-0000-000002080000}"/>
    <cellStyle name="40% - Ênfase3 4 2 2" xfId="2054" xr:uid="{00000000-0005-0000-0000-000003080000}"/>
    <cellStyle name="40% - Ênfase3 4 2_BD" xfId="2055" xr:uid="{00000000-0005-0000-0000-000004080000}"/>
    <cellStyle name="40% - Ênfase3 4 3" xfId="2056" xr:uid="{00000000-0005-0000-0000-000005080000}"/>
    <cellStyle name="40% - Ênfase3 4 3 2" xfId="2057" xr:uid="{00000000-0005-0000-0000-000006080000}"/>
    <cellStyle name="40% - Ênfase3 4 3_BD" xfId="2058" xr:uid="{00000000-0005-0000-0000-000007080000}"/>
    <cellStyle name="40% - Ênfase3 4 4" xfId="2059" xr:uid="{00000000-0005-0000-0000-000008080000}"/>
    <cellStyle name="40% - Ênfase3 40" xfId="2060" xr:uid="{00000000-0005-0000-0000-000009080000}"/>
    <cellStyle name="40% - Ênfase3 40 2" xfId="2061" xr:uid="{00000000-0005-0000-0000-00000A080000}"/>
    <cellStyle name="40% - Ênfase3 41" xfId="2062" xr:uid="{00000000-0005-0000-0000-00000B080000}"/>
    <cellStyle name="40% - Ênfase3 42" xfId="2063" xr:uid="{00000000-0005-0000-0000-00000C080000}"/>
    <cellStyle name="40% - Ênfase3 43" xfId="2064" xr:uid="{00000000-0005-0000-0000-00000D080000}"/>
    <cellStyle name="40% - Ênfase3 44" xfId="2065" xr:uid="{00000000-0005-0000-0000-00000E080000}"/>
    <cellStyle name="40% - Ênfase3 45" xfId="2066" xr:uid="{00000000-0005-0000-0000-00000F080000}"/>
    <cellStyle name="40% - Ênfase3 46" xfId="2067" xr:uid="{00000000-0005-0000-0000-000010080000}"/>
    <cellStyle name="40% - Ênfase3 47" xfId="2068" xr:uid="{00000000-0005-0000-0000-000011080000}"/>
    <cellStyle name="40% - Ênfase3 48" xfId="2069" xr:uid="{00000000-0005-0000-0000-000012080000}"/>
    <cellStyle name="40% - Ênfase3 49" xfId="2070" xr:uid="{00000000-0005-0000-0000-000013080000}"/>
    <cellStyle name="40% - Ênfase3 5" xfId="2071" xr:uid="{00000000-0005-0000-0000-000014080000}"/>
    <cellStyle name="40% - Ênfase3 5 2" xfId="2072" xr:uid="{00000000-0005-0000-0000-000015080000}"/>
    <cellStyle name="40% - Ênfase3 5 2 2" xfId="2073" xr:uid="{00000000-0005-0000-0000-000016080000}"/>
    <cellStyle name="40% - Ênfase3 5 2_BD" xfId="2074" xr:uid="{00000000-0005-0000-0000-000017080000}"/>
    <cellStyle name="40% - Ênfase3 5 3" xfId="2075" xr:uid="{00000000-0005-0000-0000-000018080000}"/>
    <cellStyle name="40% - Ênfase3 5 3 2" xfId="2076" xr:uid="{00000000-0005-0000-0000-000019080000}"/>
    <cellStyle name="40% - Ênfase3 5 4" xfId="2077" xr:uid="{00000000-0005-0000-0000-00001A080000}"/>
    <cellStyle name="40% - Ênfase3 50" xfId="2078" xr:uid="{00000000-0005-0000-0000-00001B080000}"/>
    <cellStyle name="40% - Ênfase3 51" xfId="2079" xr:uid="{00000000-0005-0000-0000-00001C080000}"/>
    <cellStyle name="40% - Ênfase3 52" xfId="2080" xr:uid="{00000000-0005-0000-0000-00001D080000}"/>
    <cellStyle name="40% - Ênfase3 53" xfId="2081" xr:uid="{00000000-0005-0000-0000-00001E080000}"/>
    <cellStyle name="40% - Ênfase3 54" xfId="2082" xr:uid="{00000000-0005-0000-0000-00001F080000}"/>
    <cellStyle name="40% - Ênfase3 55" xfId="2083" xr:uid="{00000000-0005-0000-0000-000020080000}"/>
    <cellStyle name="40% - Ênfase3 56" xfId="2084" xr:uid="{00000000-0005-0000-0000-000021080000}"/>
    <cellStyle name="40% - Ênfase3 57" xfId="2085" xr:uid="{00000000-0005-0000-0000-000022080000}"/>
    <cellStyle name="40% - Ênfase3 58" xfId="2086" xr:uid="{00000000-0005-0000-0000-000023080000}"/>
    <cellStyle name="40% - Ênfase3 59" xfId="2087" xr:uid="{00000000-0005-0000-0000-000024080000}"/>
    <cellStyle name="40% - Ênfase3 6" xfId="2088" xr:uid="{00000000-0005-0000-0000-000025080000}"/>
    <cellStyle name="40% - Ênfase3 6 2" xfId="2089" xr:uid="{00000000-0005-0000-0000-000026080000}"/>
    <cellStyle name="40% - Ênfase3 6 2 2" xfId="2090" xr:uid="{00000000-0005-0000-0000-000027080000}"/>
    <cellStyle name="40% - Ênfase3 6 2_BD" xfId="2091" xr:uid="{00000000-0005-0000-0000-000028080000}"/>
    <cellStyle name="40% - Ênfase3 6 3" xfId="2092" xr:uid="{00000000-0005-0000-0000-000029080000}"/>
    <cellStyle name="40% - Ênfase3 6 3 2" xfId="2093" xr:uid="{00000000-0005-0000-0000-00002A080000}"/>
    <cellStyle name="40% - Ênfase3 6 4" xfId="2094" xr:uid="{00000000-0005-0000-0000-00002B080000}"/>
    <cellStyle name="40% - Ênfase3 60" xfId="2095" xr:uid="{00000000-0005-0000-0000-00002C080000}"/>
    <cellStyle name="40% - Ênfase3 61" xfId="2096" xr:uid="{00000000-0005-0000-0000-00002D080000}"/>
    <cellStyle name="40% - Ênfase3 62" xfId="2097" xr:uid="{00000000-0005-0000-0000-00002E080000}"/>
    <cellStyle name="40% - Ênfase3 63" xfId="2098" xr:uid="{00000000-0005-0000-0000-00002F080000}"/>
    <cellStyle name="40% - Ênfase3 64" xfId="2099" xr:uid="{00000000-0005-0000-0000-000030080000}"/>
    <cellStyle name="40% - Ênfase3 65" xfId="2100" xr:uid="{00000000-0005-0000-0000-000031080000}"/>
    <cellStyle name="40% - Ênfase3 66" xfId="2101" xr:uid="{00000000-0005-0000-0000-000032080000}"/>
    <cellStyle name="40% - Ênfase3 67" xfId="2102" xr:uid="{00000000-0005-0000-0000-000033080000}"/>
    <cellStyle name="40% - Ênfase3 68" xfId="2103" xr:uid="{00000000-0005-0000-0000-000034080000}"/>
    <cellStyle name="40% - Ênfase3 69" xfId="2104" xr:uid="{00000000-0005-0000-0000-000035080000}"/>
    <cellStyle name="40% - Ênfase3 7" xfId="2105" xr:uid="{00000000-0005-0000-0000-000036080000}"/>
    <cellStyle name="40% - Ênfase3 7 2" xfId="2106" xr:uid="{00000000-0005-0000-0000-000037080000}"/>
    <cellStyle name="40% - Ênfase3 7 2 2" xfId="2107" xr:uid="{00000000-0005-0000-0000-000038080000}"/>
    <cellStyle name="40% - Ênfase3 7 2_BD" xfId="2108" xr:uid="{00000000-0005-0000-0000-000039080000}"/>
    <cellStyle name="40% - Ênfase3 7 3" xfId="2109" xr:uid="{00000000-0005-0000-0000-00003A080000}"/>
    <cellStyle name="40% - Ênfase3 7 3 2" xfId="2110" xr:uid="{00000000-0005-0000-0000-00003B080000}"/>
    <cellStyle name="40% - Ênfase3 7 4" xfId="2111" xr:uid="{00000000-0005-0000-0000-00003C080000}"/>
    <cellStyle name="40% - Ênfase3 70" xfId="2112" xr:uid="{00000000-0005-0000-0000-00003D080000}"/>
    <cellStyle name="40% - Ênfase3 71" xfId="2113" xr:uid="{00000000-0005-0000-0000-00003E080000}"/>
    <cellStyle name="40% - Ênfase3 72" xfId="2114" xr:uid="{00000000-0005-0000-0000-00003F080000}"/>
    <cellStyle name="40% - Ênfase3 73" xfId="2115" xr:uid="{00000000-0005-0000-0000-000040080000}"/>
    <cellStyle name="40% - Ênfase3 74" xfId="2116" xr:uid="{00000000-0005-0000-0000-000041080000}"/>
    <cellStyle name="40% - Ênfase3 75" xfId="2117" xr:uid="{00000000-0005-0000-0000-000042080000}"/>
    <cellStyle name="40% - Ênfase3 76" xfId="2118" xr:uid="{00000000-0005-0000-0000-000043080000}"/>
    <cellStyle name="40% - Ênfase3 77" xfId="2119" xr:uid="{00000000-0005-0000-0000-000044080000}"/>
    <cellStyle name="40% - Ênfase3 78" xfId="2120" xr:uid="{00000000-0005-0000-0000-000045080000}"/>
    <cellStyle name="40% - Ênfase3 79" xfId="2121" xr:uid="{00000000-0005-0000-0000-000046080000}"/>
    <cellStyle name="40% - Ênfase3 8" xfId="2122" xr:uid="{00000000-0005-0000-0000-000047080000}"/>
    <cellStyle name="40% - Ênfase3 8 2" xfId="2123" xr:uid="{00000000-0005-0000-0000-000048080000}"/>
    <cellStyle name="40% - Ênfase3 8 2 2" xfId="2124" xr:uid="{00000000-0005-0000-0000-000049080000}"/>
    <cellStyle name="40% - Ênfase3 8 3" xfId="2125" xr:uid="{00000000-0005-0000-0000-00004A080000}"/>
    <cellStyle name="40% - Ênfase3 8 3 2" xfId="2126" xr:uid="{00000000-0005-0000-0000-00004B080000}"/>
    <cellStyle name="40% - Ênfase3 8 4" xfId="2127" xr:uid="{00000000-0005-0000-0000-00004C080000}"/>
    <cellStyle name="40% - Ênfase3 80" xfId="2128" xr:uid="{00000000-0005-0000-0000-00004D080000}"/>
    <cellStyle name="40% - Ênfase3 81" xfId="2129" xr:uid="{00000000-0005-0000-0000-00004E080000}"/>
    <cellStyle name="40% - Ênfase3 82" xfId="2130" xr:uid="{00000000-0005-0000-0000-00004F080000}"/>
    <cellStyle name="40% - Ênfase3 83" xfId="2131" xr:uid="{00000000-0005-0000-0000-000050080000}"/>
    <cellStyle name="40% - Ênfase3 84" xfId="2132" xr:uid="{00000000-0005-0000-0000-000051080000}"/>
    <cellStyle name="40% - Ênfase3 85" xfId="2133" xr:uid="{00000000-0005-0000-0000-000052080000}"/>
    <cellStyle name="40% - Ênfase3 86" xfId="2134" xr:uid="{00000000-0005-0000-0000-000053080000}"/>
    <cellStyle name="40% - Ênfase3 87" xfId="2135" xr:uid="{00000000-0005-0000-0000-000054080000}"/>
    <cellStyle name="40% - Ênfase3 88" xfId="2136" xr:uid="{00000000-0005-0000-0000-000055080000}"/>
    <cellStyle name="40% - Ênfase3 89" xfId="2137" xr:uid="{00000000-0005-0000-0000-000056080000}"/>
    <cellStyle name="40% - Ênfase3 9" xfId="2138" xr:uid="{00000000-0005-0000-0000-000057080000}"/>
    <cellStyle name="40% - Ênfase3 9 2" xfId="2139" xr:uid="{00000000-0005-0000-0000-000058080000}"/>
    <cellStyle name="40% - Ênfase3 9 2 2" xfId="2140" xr:uid="{00000000-0005-0000-0000-000059080000}"/>
    <cellStyle name="40% - Ênfase3 9 3" xfId="2141" xr:uid="{00000000-0005-0000-0000-00005A080000}"/>
    <cellStyle name="40% - Ênfase3 9 3 2" xfId="2142" xr:uid="{00000000-0005-0000-0000-00005B080000}"/>
    <cellStyle name="40% - Ênfase3 9 4" xfId="2143" xr:uid="{00000000-0005-0000-0000-00005C080000}"/>
    <cellStyle name="40% - Ênfase3 90" xfId="2144" xr:uid="{00000000-0005-0000-0000-00005D080000}"/>
    <cellStyle name="40% - Ênfase3 91" xfId="2145" xr:uid="{00000000-0005-0000-0000-00005E080000}"/>
    <cellStyle name="40% - Ênfase3 92" xfId="2146" xr:uid="{00000000-0005-0000-0000-00005F080000}"/>
    <cellStyle name="40% - Ênfase3 93" xfId="2147" xr:uid="{00000000-0005-0000-0000-000060080000}"/>
    <cellStyle name="40% - Ênfase3 94" xfId="2148" xr:uid="{00000000-0005-0000-0000-000061080000}"/>
    <cellStyle name="40% - Ênfase3 95" xfId="2149" xr:uid="{00000000-0005-0000-0000-000062080000}"/>
    <cellStyle name="40% - Ênfase3 96" xfId="2150" xr:uid="{00000000-0005-0000-0000-000063080000}"/>
    <cellStyle name="40% - Ênfase3 97" xfId="2151" xr:uid="{00000000-0005-0000-0000-000064080000}"/>
    <cellStyle name="40% - Ênfase3 98" xfId="2152" xr:uid="{00000000-0005-0000-0000-000065080000}"/>
    <cellStyle name="40% - Ênfase3 99" xfId="2153" xr:uid="{00000000-0005-0000-0000-000066080000}"/>
    <cellStyle name="40% - Ênfase4 10" xfId="2154" xr:uid="{00000000-0005-0000-0000-000067080000}"/>
    <cellStyle name="40% - Ênfase4 10 2" xfId="2155" xr:uid="{00000000-0005-0000-0000-000068080000}"/>
    <cellStyle name="40% - Ênfase4 10 2 2" xfId="2156" xr:uid="{00000000-0005-0000-0000-000069080000}"/>
    <cellStyle name="40% - Ênfase4 10 3" xfId="2157" xr:uid="{00000000-0005-0000-0000-00006A080000}"/>
    <cellStyle name="40% - Ênfase4 10 3 2" xfId="2158" xr:uid="{00000000-0005-0000-0000-00006B080000}"/>
    <cellStyle name="40% - Ênfase4 10 4" xfId="2159" xr:uid="{00000000-0005-0000-0000-00006C080000}"/>
    <cellStyle name="40% - Ênfase4 100" xfId="2160" xr:uid="{00000000-0005-0000-0000-00006D080000}"/>
    <cellStyle name="40% - Ênfase4 101" xfId="2161" xr:uid="{00000000-0005-0000-0000-00006E080000}"/>
    <cellStyle name="40% - Ênfase4 102" xfId="2162" xr:uid="{00000000-0005-0000-0000-00006F080000}"/>
    <cellStyle name="40% - Ênfase4 103" xfId="2163" xr:uid="{00000000-0005-0000-0000-000070080000}"/>
    <cellStyle name="40% - Ênfase4 104" xfId="2164" xr:uid="{00000000-0005-0000-0000-000071080000}"/>
    <cellStyle name="40% - Ênfase4 105" xfId="2165" xr:uid="{00000000-0005-0000-0000-000072080000}"/>
    <cellStyle name="40% - Ênfase4 106" xfId="2166" xr:uid="{00000000-0005-0000-0000-000073080000}"/>
    <cellStyle name="40% - Ênfase4 107" xfId="2167" xr:uid="{00000000-0005-0000-0000-000074080000}"/>
    <cellStyle name="40% - Ênfase4 108" xfId="2168" xr:uid="{00000000-0005-0000-0000-000075080000}"/>
    <cellStyle name="40% - Ênfase4 109" xfId="2169" xr:uid="{00000000-0005-0000-0000-000076080000}"/>
    <cellStyle name="40% - Ênfase4 11" xfId="2170" xr:uid="{00000000-0005-0000-0000-000077080000}"/>
    <cellStyle name="40% - Ênfase4 11 2" xfId="2171" xr:uid="{00000000-0005-0000-0000-000078080000}"/>
    <cellStyle name="40% - Ênfase4 11 2 2" xfId="2172" xr:uid="{00000000-0005-0000-0000-000079080000}"/>
    <cellStyle name="40% - Ênfase4 11 3" xfId="2173" xr:uid="{00000000-0005-0000-0000-00007A080000}"/>
    <cellStyle name="40% - Ênfase4 11 3 2" xfId="2174" xr:uid="{00000000-0005-0000-0000-00007B080000}"/>
    <cellStyle name="40% - Ênfase4 11 4" xfId="2175" xr:uid="{00000000-0005-0000-0000-00007C080000}"/>
    <cellStyle name="40% - Ênfase4 110" xfId="2176" xr:uid="{00000000-0005-0000-0000-00007D080000}"/>
    <cellStyle name="40% - Ênfase4 111" xfId="2177" xr:uid="{00000000-0005-0000-0000-00007E080000}"/>
    <cellStyle name="40% - Ênfase4 112" xfId="2178" xr:uid="{00000000-0005-0000-0000-00007F080000}"/>
    <cellStyle name="40% - Ênfase4 113" xfId="2179" xr:uid="{00000000-0005-0000-0000-000080080000}"/>
    <cellStyle name="40% - Ênfase4 114" xfId="2180" xr:uid="{00000000-0005-0000-0000-000081080000}"/>
    <cellStyle name="40% - Ênfase4 115" xfId="2181" xr:uid="{00000000-0005-0000-0000-000082080000}"/>
    <cellStyle name="40% - Ênfase4 116" xfId="2182" xr:uid="{00000000-0005-0000-0000-000083080000}"/>
    <cellStyle name="40% - Ênfase4 117" xfId="2183" xr:uid="{00000000-0005-0000-0000-000084080000}"/>
    <cellStyle name="40% - Ênfase4 118" xfId="2184" xr:uid="{00000000-0005-0000-0000-000085080000}"/>
    <cellStyle name="40% - Ênfase4 119" xfId="2185" xr:uid="{00000000-0005-0000-0000-000086080000}"/>
    <cellStyle name="40% - Ênfase4 12" xfId="2186" xr:uid="{00000000-0005-0000-0000-000087080000}"/>
    <cellStyle name="40% - Ênfase4 12 2" xfId="2187" xr:uid="{00000000-0005-0000-0000-000088080000}"/>
    <cellStyle name="40% - Ênfase4 12 2 2" xfId="2188" xr:uid="{00000000-0005-0000-0000-000089080000}"/>
    <cellStyle name="40% - Ênfase4 12 3" xfId="2189" xr:uid="{00000000-0005-0000-0000-00008A080000}"/>
    <cellStyle name="40% - Ênfase4 12 3 2" xfId="2190" xr:uid="{00000000-0005-0000-0000-00008B080000}"/>
    <cellStyle name="40% - Ênfase4 12 4" xfId="2191" xr:uid="{00000000-0005-0000-0000-00008C080000}"/>
    <cellStyle name="40% - Ênfase4 120" xfId="2192" xr:uid="{00000000-0005-0000-0000-00008D080000}"/>
    <cellStyle name="40% - Ênfase4 13" xfId="2193" xr:uid="{00000000-0005-0000-0000-00008E080000}"/>
    <cellStyle name="40% - Ênfase4 13 2" xfId="2194" xr:uid="{00000000-0005-0000-0000-00008F080000}"/>
    <cellStyle name="40% - Ênfase4 13 2 2" xfId="2195" xr:uid="{00000000-0005-0000-0000-000090080000}"/>
    <cellStyle name="40% - Ênfase4 13 3" xfId="2196" xr:uid="{00000000-0005-0000-0000-000091080000}"/>
    <cellStyle name="40% - Ênfase4 13 3 2" xfId="2197" xr:uid="{00000000-0005-0000-0000-000092080000}"/>
    <cellStyle name="40% - Ênfase4 13 4" xfId="2198" xr:uid="{00000000-0005-0000-0000-000093080000}"/>
    <cellStyle name="40% - Ênfase4 14" xfId="2199" xr:uid="{00000000-0005-0000-0000-000094080000}"/>
    <cellStyle name="40% - Ênfase4 14 2" xfId="2200" xr:uid="{00000000-0005-0000-0000-000095080000}"/>
    <cellStyle name="40% - Ênfase4 14 2 2" xfId="2201" xr:uid="{00000000-0005-0000-0000-000096080000}"/>
    <cellStyle name="40% - Ênfase4 14 3" xfId="2202" xr:uid="{00000000-0005-0000-0000-000097080000}"/>
    <cellStyle name="40% - Ênfase4 14 3 2" xfId="2203" xr:uid="{00000000-0005-0000-0000-000098080000}"/>
    <cellStyle name="40% - Ênfase4 14 4" xfId="2204" xr:uid="{00000000-0005-0000-0000-000099080000}"/>
    <cellStyle name="40% - Ênfase4 15" xfId="2205" xr:uid="{00000000-0005-0000-0000-00009A080000}"/>
    <cellStyle name="40% - Ênfase4 15 2" xfId="2206" xr:uid="{00000000-0005-0000-0000-00009B080000}"/>
    <cellStyle name="40% - Ênfase4 16" xfId="2207" xr:uid="{00000000-0005-0000-0000-00009C080000}"/>
    <cellStyle name="40% - Ênfase4 16 2" xfId="2208" xr:uid="{00000000-0005-0000-0000-00009D080000}"/>
    <cellStyle name="40% - Ênfase4 17" xfId="2209" xr:uid="{00000000-0005-0000-0000-00009E080000}"/>
    <cellStyle name="40% - Ênfase4 17 2" xfId="2210" xr:uid="{00000000-0005-0000-0000-00009F080000}"/>
    <cellStyle name="40% - Ênfase4 18" xfId="2211" xr:uid="{00000000-0005-0000-0000-0000A0080000}"/>
    <cellStyle name="40% - Ênfase4 18 2" xfId="2212" xr:uid="{00000000-0005-0000-0000-0000A1080000}"/>
    <cellStyle name="40% - Ênfase4 19" xfId="2213" xr:uid="{00000000-0005-0000-0000-0000A2080000}"/>
    <cellStyle name="40% - Ênfase4 19 2" xfId="2214" xr:uid="{00000000-0005-0000-0000-0000A3080000}"/>
    <cellStyle name="40% - Ênfase4 2" xfId="2215" xr:uid="{00000000-0005-0000-0000-0000A4080000}"/>
    <cellStyle name="40% - Ênfase4 2 2" xfId="2216" xr:uid="{00000000-0005-0000-0000-0000A5080000}"/>
    <cellStyle name="40% - Ênfase4 2 2 2" xfId="2217" xr:uid="{00000000-0005-0000-0000-0000A6080000}"/>
    <cellStyle name="40% - Ênfase4 2 2 2 2" xfId="2218" xr:uid="{00000000-0005-0000-0000-0000A7080000}"/>
    <cellStyle name="40% - Ênfase4 2 2 2 2 2" xfId="2219" xr:uid="{00000000-0005-0000-0000-0000A8080000}"/>
    <cellStyle name="40% - Ênfase4 2 2 2 2 2 2" xfId="2220" xr:uid="{00000000-0005-0000-0000-0000A9080000}"/>
    <cellStyle name="40% - Ênfase4 2 2 2 2 2 2 2" xfId="2221" xr:uid="{00000000-0005-0000-0000-0000AA080000}"/>
    <cellStyle name="40% - Ênfase4 2 2 2 2 2 3" xfId="2222" xr:uid="{00000000-0005-0000-0000-0000AB080000}"/>
    <cellStyle name="40% - Ênfase4 2 2 2 2 3" xfId="2223" xr:uid="{00000000-0005-0000-0000-0000AC080000}"/>
    <cellStyle name="40% - Ênfase4 2 2 2 2 3 2" xfId="2224" xr:uid="{00000000-0005-0000-0000-0000AD080000}"/>
    <cellStyle name="40% - Ênfase4 2 2 2 3" xfId="2225" xr:uid="{00000000-0005-0000-0000-0000AE080000}"/>
    <cellStyle name="40% - Ênfase4 2 2 2 3 2" xfId="2226" xr:uid="{00000000-0005-0000-0000-0000AF080000}"/>
    <cellStyle name="40% - Ênfase4 2 2 2_BD" xfId="2227" xr:uid="{00000000-0005-0000-0000-0000B0080000}"/>
    <cellStyle name="40% - Ênfase4 2 2 3" xfId="2228" xr:uid="{00000000-0005-0000-0000-0000B1080000}"/>
    <cellStyle name="40% - Ênfase4 2 2 3 2" xfId="2229" xr:uid="{00000000-0005-0000-0000-0000B2080000}"/>
    <cellStyle name="40% - Ênfase4 2 2 4" xfId="2230" xr:uid="{00000000-0005-0000-0000-0000B3080000}"/>
    <cellStyle name="40% - Ênfase4 2 2 5" xfId="2231" xr:uid="{00000000-0005-0000-0000-0000B4080000}"/>
    <cellStyle name="40% - Ênfase4 2 2 5 2" xfId="2232" xr:uid="{00000000-0005-0000-0000-0000B5080000}"/>
    <cellStyle name="40% - Ênfase4 2 2_BD" xfId="2233" xr:uid="{00000000-0005-0000-0000-0000B6080000}"/>
    <cellStyle name="40% - Ênfase4 2 3" xfId="2234" xr:uid="{00000000-0005-0000-0000-0000B7080000}"/>
    <cellStyle name="40% - Ênfase4 2 3 2" xfId="2235" xr:uid="{00000000-0005-0000-0000-0000B8080000}"/>
    <cellStyle name="40% - Ênfase4 2 3_BD" xfId="2236" xr:uid="{00000000-0005-0000-0000-0000B9080000}"/>
    <cellStyle name="40% - Ênfase4 2 4" xfId="2237" xr:uid="{00000000-0005-0000-0000-0000BA080000}"/>
    <cellStyle name="40% - Ênfase4 2 5" xfId="2238" xr:uid="{00000000-0005-0000-0000-0000BB080000}"/>
    <cellStyle name="40% - Ênfase4 2 6" xfId="2239" xr:uid="{00000000-0005-0000-0000-0000BC080000}"/>
    <cellStyle name="40% - Ênfase4 2 6 2" xfId="2240" xr:uid="{00000000-0005-0000-0000-0000BD080000}"/>
    <cellStyle name="40% - Ênfase4 2_BD" xfId="2241" xr:uid="{00000000-0005-0000-0000-0000BE080000}"/>
    <cellStyle name="40% - Ênfase4 20" xfId="2242" xr:uid="{00000000-0005-0000-0000-0000BF080000}"/>
    <cellStyle name="40% - Ênfase4 20 2" xfId="2243" xr:uid="{00000000-0005-0000-0000-0000C0080000}"/>
    <cellStyle name="40% - Ênfase4 21" xfId="2244" xr:uid="{00000000-0005-0000-0000-0000C1080000}"/>
    <cellStyle name="40% - Ênfase4 21 2" xfId="2245" xr:uid="{00000000-0005-0000-0000-0000C2080000}"/>
    <cellStyle name="40% - Ênfase4 22" xfId="2246" xr:uid="{00000000-0005-0000-0000-0000C3080000}"/>
    <cellStyle name="40% - Ênfase4 22 2" xfId="2247" xr:uid="{00000000-0005-0000-0000-0000C4080000}"/>
    <cellStyle name="40% - Ênfase4 23" xfId="2248" xr:uid="{00000000-0005-0000-0000-0000C5080000}"/>
    <cellStyle name="40% - Ênfase4 23 2" xfId="2249" xr:uid="{00000000-0005-0000-0000-0000C6080000}"/>
    <cellStyle name="40% - Ênfase4 24" xfId="2250" xr:uid="{00000000-0005-0000-0000-0000C7080000}"/>
    <cellStyle name="40% - Ênfase4 24 2" xfId="2251" xr:uid="{00000000-0005-0000-0000-0000C8080000}"/>
    <cellStyle name="40% - Ênfase4 25" xfId="2252" xr:uid="{00000000-0005-0000-0000-0000C9080000}"/>
    <cellStyle name="40% - Ênfase4 25 2" xfId="2253" xr:uid="{00000000-0005-0000-0000-0000CA080000}"/>
    <cellStyle name="40% - Ênfase4 26" xfId="2254" xr:uid="{00000000-0005-0000-0000-0000CB080000}"/>
    <cellStyle name="40% - Ênfase4 26 2" xfId="2255" xr:uid="{00000000-0005-0000-0000-0000CC080000}"/>
    <cellStyle name="40% - Ênfase4 27" xfId="2256" xr:uid="{00000000-0005-0000-0000-0000CD080000}"/>
    <cellStyle name="40% - Ênfase4 27 2" xfId="2257" xr:uid="{00000000-0005-0000-0000-0000CE080000}"/>
    <cellStyle name="40% - Ênfase4 28" xfId="2258" xr:uid="{00000000-0005-0000-0000-0000CF080000}"/>
    <cellStyle name="40% - Ênfase4 28 2" xfId="2259" xr:uid="{00000000-0005-0000-0000-0000D0080000}"/>
    <cellStyle name="40% - Ênfase4 29" xfId="2260" xr:uid="{00000000-0005-0000-0000-0000D1080000}"/>
    <cellStyle name="40% - Ênfase4 3" xfId="2261" xr:uid="{00000000-0005-0000-0000-0000D2080000}"/>
    <cellStyle name="40% - Ênfase4 3 2" xfId="2262" xr:uid="{00000000-0005-0000-0000-0000D3080000}"/>
    <cellStyle name="40% - Ênfase4 3 2 2" xfId="2263" xr:uid="{00000000-0005-0000-0000-0000D4080000}"/>
    <cellStyle name="40% - Ênfase4 3 2_BD" xfId="2264" xr:uid="{00000000-0005-0000-0000-0000D5080000}"/>
    <cellStyle name="40% - Ênfase4 3 3" xfId="2265" xr:uid="{00000000-0005-0000-0000-0000D6080000}"/>
    <cellStyle name="40% - Ênfase4 3 3 2" xfId="2266" xr:uid="{00000000-0005-0000-0000-0000D7080000}"/>
    <cellStyle name="40% - Ênfase4 3 3_BD" xfId="2267" xr:uid="{00000000-0005-0000-0000-0000D8080000}"/>
    <cellStyle name="40% - Ênfase4 3 4" xfId="2268" xr:uid="{00000000-0005-0000-0000-0000D9080000}"/>
    <cellStyle name="40% - Ênfase4 30" xfId="2269" xr:uid="{00000000-0005-0000-0000-0000DA080000}"/>
    <cellStyle name="40% - Ênfase4 31" xfId="2270" xr:uid="{00000000-0005-0000-0000-0000DB080000}"/>
    <cellStyle name="40% - Ênfase4 32" xfId="2271" xr:uid="{00000000-0005-0000-0000-0000DC080000}"/>
    <cellStyle name="40% - Ênfase4 33" xfId="2272" xr:uid="{00000000-0005-0000-0000-0000DD080000}"/>
    <cellStyle name="40% - Ênfase4 34" xfId="2273" xr:uid="{00000000-0005-0000-0000-0000DE080000}"/>
    <cellStyle name="40% - Ênfase4 35" xfId="2274" xr:uid="{00000000-0005-0000-0000-0000DF080000}"/>
    <cellStyle name="40% - Ênfase4 36" xfId="2275" xr:uid="{00000000-0005-0000-0000-0000E0080000}"/>
    <cellStyle name="40% - Ênfase4 36 2" xfId="2276" xr:uid="{00000000-0005-0000-0000-0000E1080000}"/>
    <cellStyle name="40% - Ênfase4 36 3" xfId="2277" xr:uid="{00000000-0005-0000-0000-0000E2080000}"/>
    <cellStyle name="40% - Ênfase4 36 4" xfId="2278" xr:uid="{00000000-0005-0000-0000-0000E3080000}"/>
    <cellStyle name="40% - Ênfase4 37" xfId="2279" xr:uid="{00000000-0005-0000-0000-0000E4080000}"/>
    <cellStyle name="40% - Ênfase4 37 2" xfId="2280" xr:uid="{00000000-0005-0000-0000-0000E5080000}"/>
    <cellStyle name="40% - Ênfase4 37 3" xfId="2281" xr:uid="{00000000-0005-0000-0000-0000E6080000}"/>
    <cellStyle name="40% - Ênfase4 37 4" xfId="2282" xr:uid="{00000000-0005-0000-0000-0000E7080000}"/>
    <cellStyle name="40% - Ênfase4 38" xfId="2283" xr:uid="{00000000-0005-0000-0000-0000E8080000}"/>
    <cellStyle name="40% - Ênfase4 38 2" xfId="2284" xr:uid="{00000000-0005-0000-0000-0000E9080000}"/>
    <cellStyle name="40% - Ênfase4 38 3" xfId="2285" xr:uid="{00000000-0005-0000-0000-0000EA080000}"/>
    <cellStyle name="40% - Ênfase4 38 4" xfId="2286" xr:uid="{00000000-0005-0000-0000-0000EB080000}"/>
    <cellStyle name="40% - Ênfase4 39" xfId="2287" xr:uid="{00000000-0005-0000-0000-0000EC080000}"/>
    <cellStyle name="40% - Ênfase4 39 2" xfId="2288" xr:uid="{00000000-0005-0000-0000-0000ED080000}"/>
    <cellStyle name="40% - Ênfase4 39 3" xfId="2289" xr:uid="{00000000-0005-0000-0000-0000EE080000}"/>
    <cellStyle name="40% - Ênfase4 39 4" xfId="2290" xr:uid="{00000000-0005-0000-0000-0000EF080000}"/>
    <cellStyle name="40% - Ênfase4 4" xfId="2291" xr:uid="{00000000-0005-0000-0000-0000F0080000}"/>
    <cellStyle name="40% - Ênfase4 4 2" xfId="2292" xr:uid="{00000000-0005-0000-0000-0000F1080000}"/>
    <cellStyle name="40% - Ênfase4 4 2 2" xfId="2293" xr:uid="{00000000-0005-0000-0000-0000F2080000}"/>
    <cellStyle name="40% - Ênfase4 4 2_BD" xfId="2294" xr:uid="{00000000-0005-0000-0000-0000F3080000}"/>
    <cellStyle name="40% - Ênfase4 4 3" xfId="2295" xr:uid="{00000000-0005-0000-0000-0000F4080000}"/>
    <cellStyle name="40% - Ênfase4 4 3 2" xfId="2296" xr:uid="{00000000-0005-0000-0000-0000F5080000}"/>
    <cellStyle name="40% - Ênfase4 4 3_BD" xfId="2297" xr:uid="{00000000-0005-0000-0000-0000F6080000}"/>
    <cellStyle name="40% - Ênfase4 4 4" xfId="2298" xr:uid="{00000000-0005-0000-0000-0000F7080000}"/>
    <cellStyle name="40% - Ênfase4 40" xfId="2299" xr:uid="{00000000-0005-0000-0000-0000F8080000}"/>
    <cellStyle name="40% - Ênfase4 40 2" xfId="2300" xr:uid="{00000000-0005-0000-0000-0000F9080000}"/>
    <cellStyle name="40% - Ênfase4 41" xfId="2301" xr:uid="{00000000-0005-0000-0000-0000FA080000}"/>
    <cellStyle name="40% - Ênfase4 42" xfId="2302" xr:uid="{00000000-0005-0000-0000-0000FB080000}"/>
    <cellStyle name="40% - Ênfase4 43" xfId="2303" xr:uid="{00000000-0005-0000-0000-0000FC080000}"/>
    <cellStyle name="40% - Ênfase4 44" xfId="2304" xr:uid="{00000000-0005-0000-0000-0000FD080000}"/>
    <cellStyle name="40% - Ênfase4 45" xfId="2305" xr:uid="{00000000-0005-0000-0000-0000FE080000}"/>
    <cellStyle name="40% - Ênfase4 46" xfId="2306" xr:uid="{00000000-0005-0000-0000-0000FF080000}"/>
    <cellStyle name="40% - Ênfase4 47" xfId="2307" xr:uid="{00000000-0005-0000-0000-000000090000}"/>
    <cellStyle name="40% - Ênfase4 48" xfId="2308" xr:uid="{00000000-0005-0000-0000-000001090000}"/>
    <cellStyle name="40% - Ênfase4 49" xfId="2309" xr:uid="{00000000-0005-0000-0000-000002090000}"/>
    <cellStyle name="40% - Ênfase4 5" xfId="2310" xr:uid="{00000000-0005-0000-0000-000003090000}"/>
    <cellStyle name="40% - Ênfase4 5 2" xfId="2311" xr:uid="{00000000-0005-0000-0000-000004090000}"/>
    <cellStyle name="40% - Ênfase4 5 2 2" xfId="2312" xr:uid="{00000000-0005-0000-0000-000005090000}"/>
    <cellStyle name="40% - Ênfase4 5 2_BD" xfId="2313" xr:uid="{00000000-0005-0000-0000-000006090000}"/>
    <cellStyle name="40% - Ênfase4 5 3" xfId="2314" xr:uid="{00000000-0005-0000-0000-000007090000}"/>
    <cellStyle name="40% - Ênfase4 5 3 2" xfId="2315" xr:uid="{00000000-0005-0000-0000-000008090000}"/>
    <cellStyle name="40% - Ênfase4 5 4" xfId="2316" xr:uid="{00000000-0005-0000-0000-000009090000}"/>
    <cellStyle name="40% - Ênfase4 50" xfId="2317" xr:uid="{00000000-0005-0000-0000-00000A090000}"/>
    <cellStyle name="40% - Ênfase4 51" xfId="2318" xr:uid="{00000000-0005-0000-0000-00000B090000}"/>
    <cellStyle name="40% - Ênfase4 52" xfId="2319" xr:uid="{00000000-0005-0000-0000-00000C090000}"/>
    <cellStyle name="40% - Ênfase4 53" xfId="2320" xr:uid="{00000000-0005-0000-0000-00000D090000}"/>
    <cellStyle name="40% - Ênfase4 54" xfId="2321" xr:uid="{00000000-0005-0000-0000-00000E090000}"/>
    <cellStyle name="40% - Ênfase4 55" xfId="2322" xr:uid="{00000000-0005-0000-0000-00000F090000}"/>
    <cellStyle name="40% - Ênfase4 56" xfId="2323" xr:uid="{00000000-0005-0000-0000-000010090000}"/>
    <cellStyle name="40% - Ênfase4 57" xfId="2324" xr:uid="{00000000-0005-0000-0000-000011090000}"/>
    <cellStyle name="40% - Ênfase4 58" xfId="2325" xr:uid="{00000000-0005-0000-0000-000012090000}"/>
    <cellStyle name="40% - Ênfase4 59" xfId="2326" xr:uid="{00000000-0005-0000-0000-000013090000}"/>
    <cellStyle name="40% - Ênfase4 6" xfId="2327" xr:uid="{00000000-0005-0000-0000-000014090000}"/>
    <cellStyle name="40% - Ênfase4 6 2" xfId="2328" xr:uid="{00000000-0005-0000-0000-000015090000}"/>
    <cellStyle name="40% - Ênfase4 6 2 2" xfId="2329" xr:uid="{00000000-0005-0000-0000-000016090000}"/>
    <cellStyle name="40% - Ênfase4 6 2_BD" xfId="2330" xr:uid="{00000000-0005-0000-0000-000017090000}"/>
    <cellStyle name="40% - Ênfase4 6 3" xfId="2331" xr:uid="{00000000-0005-0000-0000-000018090000}"/>
    <cellStyle name="40% - Ênfase4 6 3 2" xfId="2332" xr:uid="{00000000-0005-0000-0000-000019090000}"/>
    <cellStyle name="40% - Ênfase4 6 4" xfId="2333" xr:uid="{00000000-0005-0000-0000-00001A090000}"/>
    <cellStyle name="40% - Ênfase4 60" xfId="2334" xr:uid="{00000000-0005-0000-0000-00001B090000}"/>
    <cellStyle name="40% - Ênfase4 61" xfId="2335" xr:uid="{00000000-0005-0000-0000-00001C090000}"/>
    <cellStyle name="40% - Ênfase4 62" xfId="2336" xr:uid="{00000000-0005-0000-0000-00001D090000}"/>
    <cellStyle name="40% - Ênfase4 63" xfId="2337" xr:uid="{00000000-0005-0000-0000-00001E090000}"/>
    <cellStyle name="40% - Ênfase4 64" xfId="2338" xr:uid="{00000000-0005-0000-0000-00001F090000}"/>
    <cellStyle name="40% - Ênfase4 65" xfId="2339" xr:uid="{00000000-0005-0000-0000-000020090000}"/>
    <cellStyle name="40% - Ênfase4 66" xfId="2340" xr:uid="{00000000-0005-0000-0000-000021090000}"/>
    <cellStyle name="40% - Ênfase4 67" xfId="2341" xr:uid="{00000000-0005-0000-0000-000022090000}"/>
    <cellStyle name="40% - Ênfase4 68" xfId="2342" xr:uid="{00000000-0005-0000-0000-000023090000}"/>
    <cellStyle name="40% - Ênfase4 69" xfId="2343" xr:uid="{00000000-0005-0000-0000-000024090000}"/>
    <cellStyle name="40% - Ênfase4 7" xfId="2344" xr:uid="{00000000-0005-0000-0000-000025090000}"/>
    <cellStyle name="40% - Ênfase4 7 2" xfId="2345" xr:uid="{00000000-0005-0000-0000-000026090000}"/>
    <cellStyle name="40% - Ênfase4 7 2 2" xfId="2346" xr:uid="{00000000-0005-0000-0000-000027090000}"/>
    <cellStyle name="40% - Ênfase4 7 2_BD" xfId="2347" xr:uid="{00000000-0005-0000-0000-000028090000}"/>
    <cellStyle name="40% - Ênfase4 7 3" xfId="2348" xr:uid="{00000000-0005-0000-0000-000029090000}"/>
    <cellStyle name="40% - Ênfase4 7 3 2" xfId="2349" xr:uid="{00000000-0005-0000-0000-00002A090000}"/>
    <cellStyle name="40% - Ênfase4 7 4" xfId="2350" xr:uid="{00000000-0005-0000-0000-00002B090000}"/>
    <cellStyle name="40% - Ênfase4 70" xfId="2351" xr:uid="{00000000-0005-0000-0000-00002C090000}"/>
    <cellStyle name="40% - Ênfase4 71" xfId="2352" xr:uid="{00000000-0005-0000-0000-00002D090000}"/>
    <cellStyle name="40% - Ênfase4 72" xfId="2353" xr:uid="{00000000-0005-0000-0000-00002E090000}"/>
    <cellStyle name="40% - Ênfase4 73" xfId="2354" xr:uid="{00000000-0005-0000-0000-00002F090000}"/>
    <cellStyle name="40% - Ênfase4 74" xfId="2355" xr:uid="{00000000-0005-0000-0000-000030090000}"/>
    <cellStyle name="40% - Ênfase4 75" xfId="2356" xr:uid="{00000000-0005-0000-0000-000031090000}"/>
    <cellStyle name="40% - Ênfase4 76" xfId="2357" xr:uid="{00000000-0005-0000-0000-000032090000}"/>
    <cellStyle name="40% - Ênfase4 77" xfId="2358" xr:uid="{00000000-0005-0000-0000-000033090000}"/>
    <cellStyle name="40% - Ênfase4 78" xfId="2359" xr:uid="{00000000-0005-0000-0000-000034090000}"/>
    <cellStyle name="40% - Ênfase4 79" xfId="2360" xr:uid="{00000000-0005-0000-0000-000035090000}"/>
    <cellStyle name="40% - Ênfase4 8" xfId="2361" xr:uid="{00000000-0005-0000-0000-000036090000}"/>
    <cellStyle name="40% - Ênfase4 8 2" xfId="2362" xr:uid="{00000000-0005-0000-0000-000037090000}"/>
    <cellStyle name="40% - Ênfase4 8 2 2" xfId="2363" xr:uid="{00000000-0005-0000-0000-000038090000}"/>
    <cellStyle name="40% - Ênfase4 8 3" xfId="2364" xr:uid="{00000000-0005-0000-0000-000039090000}"/>
    <cellStyle name="40% - Ênfase4 8 3 2" xfId="2365" xr:uid="{00000000-0005-0000-0000-00003A090000}"/>
    <cellStyle name="40% - Ênfase4 8 4" xfId="2366" xr:uid="{00000000-0005-0000-0000-00003B090000}"/>
    <cellStyle name="40% - Ênfase4 80" xfId="2367" xr:uid="{00000000-0005-0000-0000-00003C090000}"/>
    <cellStyle name="40% - Ênfase4 81" xfId="2368" xr:uid="{00000000-0005-0000-0000-00003D090000}"/>
    <cellStyle name="40% - Ênfase4 82" xfId="2369" xr:uid="{00000000-0005-0000-0000-00003E090000}"/>
    <cellStyle name="40% - Ênfase4 83" xfId="2370" xr:uid="{00000000-0005-0000-0000-00003F090000}"/>
    <cellStyle name="40% - Ênfase4 84" xfId="2371" xr:uid="{00000000-0005-0000-0000-000040090000}"/>
    <cellStyle name="40% - Ênfase4 85" xfId="2372" xr:uid="{00000000-0005-0000-0000-000041090000}"/>
    <cellStyle name="40% - Ênfase4 86" xfId="2373" xr:uid="{00000000-0005-0000-0000-000042090000}"/>
    <cellStyle name="40% - Ênfase4 87" xfId="2374" xr:uid="{00000000-0005-0000-0000-000043090000}"/>
    <cellStyle name="40% - Ênfase4 88" xfId="2375" xr:uid="{00000000-0005-0000-0000-000044090000}"/>
    <cellStyle name="40% - Ênfase4 89" xfId="2376" xr:uid="{00000000-0005-0000-0000-000045090000}"/>
    <cellStyle name="40% - Ênfase4 9" xfId="2377" xr:uid="{00000000-0005-0000-0000-000046090000}"/>
    <cellStyle name="40% - Ênfase4 9 2" xfId="2378" xr:uid="{00000000-0005-0000-0000-000047090000}"/>
    <cellStyle name="40% - Ênfase4 9 2 2" xfId="2379" xr:uid="{00000000-0005-0000-0000-000048090000}"/>
    <cellStyle name="40% - Ênfase4 9 3" xfId="2380" xr:uid="{00000000-0005-0000-0000-000049090000}"/>
    <cellStyle name="40% - Ênfase4 9 3 2" xfId="2381" xr:uid="{00000000-0005-0000-0000-00004A090000}"/>
    <cellStyle name="40% - Ênfase4 9 4" xfId="2382" xr:uid="{00000000-0005-0000-0000-00004B090000}"/>
    <cellStyle name="40% - Ênfase4 90" xfId="2383" xr:uid="{00000000-0005-0000-0000-00004C090000}"/>
    <cellStyle name="40% - Ênfase4 91" xfId="2384" xr:uid="{00000000-0005-0000-0000-00004D090000}"/>
    <cellStyle name="40% - Ênfase4 92" xfId="2385" xr:uid="{00000000-0005-0000-0000-00004E090000}"/>
    <cellStyle name="40% - Ênfase4 93" xfId="2386" xr:uid="{00000000-0005-0000-0000-00004F090000}"/>
    <cellStyle name="40% - Ênfase4 94" xfId="2387" xr:uid="{00000000-0005-0000-0000-000050090000}"/>
    <cellStyle name="40% - Ênfase4 95" xfId="2388" xr:uid="{00000000-0005-0000-0000-000051090000}"/>
    <cellStyle name="40% - Ênfase4 96" xfId="2389" xr:uid="{00000000-0005-0000-0000-000052090000}"/>
    <cellStyle name="40% - Ênfase4 97" xfId="2390" xr:uid="{00000000-0005-0000-0000-000053090000}"/>
    <cellStyle name="40% - Ênfase4 98" xfId="2391" xr:uid="{00000000-0005-0000-0000-000054090000}"/>
    <cellStyle name="40% - Ênfase4 99" xfId="2392" xr:uid="{00000000-0005-0000-0000-000055090000}"/>
    <cellStyle name="40% - Ênfase5 10" xfId="2393" xr:uid="{00000000-0005-0000-0000-000056090000}"/>
    <cellStyle name="40% - Ênfase5 10 2" xfId="2394" xr:uid="{00000000-0005-0000-0000-000057090000}"/>
    <cellStyle name="40% - Ênfase5 10 2 2" xfId="2395" xr:uid="{00000000-0005-0000-0000-000058090000}"/>
    <cellStyle name="40% - Ênfase5 10 3" xfId="2396" xr:uid="{00000000-0005-0000-0000-000059090000}"/>
    <cellStyle name="40% - Ênfase5 10 3 2" xfId="2397" xr:uid="{00000000-0005-0000-0000-00005A090000}"/>
    <cellStyle name="40% - Ênfase5 10 4" xfId="2398" xr:uid="{00000000-0005-0000-0000-00005B090000}"/>
    <cellStyle name="40% - Ênfase5 100" xfId="2399" xr:uid="{00000000-0005-0000-0000-00005C090000}"/>
    <cellStyle name="40% - Ênfase5 101" xfId="2400" xr:uid="{00000000-0005-0000-0000-00005D090000}"/>
    <cellStyle name="40% - Ênfase5 102" xfId="2401" xr:uid="{00000000-0005-0000-0000-00005E090000}"/>
    <cellStyle name="40% - Ênfase5 103" xfId="2402" xr:uid="{00000000-0005-0000-0000-00005F090000}"/>
    <cellStyle name="40% - Ênfase5 104" xfId="2403" xr:uid="{00000000-0005-0000-0000-000060090000}"/>
    <cellStyle name="40% - Ênfase5 105" xfId="2404" xr:uid="{00000000-0005-0000-0000-000061090000}"/>
    <cellStyle name="40% - Ênfase5 106" xfId="2405" xr:uid="{00000000-0005-0000-0000-000062090000}"/>
    <cellStyle name="40% - Ênfase5 107" xfId="2406" xr:uid="{00000000-0005-0000-0000-000063090000}"/>
    <cellStyle name="40% - Ênfase5 108" xfId="2407" xr:uid="{00000000-0005-0000-0000-000064090000}"/>
    <cellStyle name="40% - Ênfase5 109" xfId="2408" xr:uid="{00000000-0005-0000-0000-000065090000}"/>
    <cellStyle name="40% - Ênfase5 11" xfId="2409" xr:uid="{00000000-0005-0000-0000-000066090000}"/>
    <cellStyle name="40% - Ênfase5 11 2" xfId="2410" xr:uid="{00000000-0005-0000-0000-000067090000}"/>
    <cellStyle name="40% - Ênfase5 11 2 2" xfId="2411" xr:uid="{00000000-0005-0000-0000-000068090000}"/>
    <cellStyle name="40% - Ênfase5 11 3" xfId="2412" xr:uid="{00000000-0005-0000-0000-000069090000}"/>
    <cellStyle name="40% - Ênfase5 11 3 2" xfId="2413" xr:uid="{00000000-0005-0000-0000-00006A090000}"/>
    <cellStyle name="40% - Ênfase5 11 4" xfId="2414" xr:uid="{00000000-0005-0000-0000-00006B090000}"/>
    <cellStyle name="40% - Ênfase5 110" xfId="2415" xr:uid="{00000000-0005-0000-0000-00006C090000}"/>
    <cellStyle name="40% - Ênfase5 111" xfId="2416" xr:uid="{00000000-0005-0000-0000-00006D090000}"/>
    <cellStyle name="40% - Ênfase5 112" xfId="2417" xr:uid="{00000000-0005-0000-0000-00006E090000}"/>
    <cellStyle name="40% - Ênfase5 113" xfId="2418" xr:uid="{00000000-0005-0000-0000-00006F090000}"/>
    <cellStyle name="40% - Ênfase5 114" xfId="2419" xr:uid="{00000000-0005-0000-0000-000070090000}"/>
    <cellStyle name="40% - Ênfase5 115" xfId="2420" xr:uid="{00000000-0005-0000-0000-000071090000}"/>
    <cellStyle name="40% - Ênfase5 116" xfId="2421" xr:uid="{00000000-0005-0000-0000-000072090000}"/>
    <cellStyle name="40% - Ênfase5 117" xfId="2422" xr:uid="{00000000-0005-0000-0000-000073090000}"/>
    <cellStyle name="40% - Ênfase5 118" xfId="2423" xr:uid="{00000000-0005-0000-0000-000074090000}"/>
    <cellStyle name="40% - Ênfase5 119" xfId="2424" xr:uid="{00000000-0005-0000-0000-000075090000}"/>
    <cellStyle name="40% - Ênfase5 12" xfId="2425" xr:uid="{00000000-0005-0000-0000-000076090000}"/>
    <cellStyle name="40% - Ênfase5 12 2" xfId="2426" xr:uid="{00000000-0005-0000-0000-000077090000}"/>
    <cellStyle name="40% - Ênfase5 12 2 2" xfId="2427" xr:uid="{00000000-0005-0000-0000-000078090000}"/>
    <cellStyle name="40% - Ênfase5 12 3" xfId="2428" xr:uid="{00000000-0005-0000-0000-000079090000}"/>
    <cellStyle name="40% - Ênfase5 12 3 2" xfId="2429" xr:uid="{00000000-0005-0000-0000-00007A090000}"/>
    <cellStyle name="40% - Ênfase5 12 4" xfId="2430" xr:uid="{00000000-0005-0000-0000-00007B090000}"/>
    <cellStyle name="40% - Ênfase5 120" xfId="2431" xr:uid="{00000000-0005-0000-0000-00007C090000}"/>
    <cellStyle name="40% - Ênfase5 13" xfId="2432" xr:uid="{00000000-0005-0000-0000-00007D090000}"/>
    <cellStyle name="40% - Ênfase5 13 2" xfId="2433" xr:uid="{00000000-0005-0000-0000-00007E090000}"/>
    <cellStyle name="40% - Ênfase5 13 2 2" xfId="2434" xr:uid="{00000000-0005-0000-0000-00007F090000}"/>
    <cellStyle name="40% - Ênfase5 13 3" xfId="2435" xr:uid="{00000000-0005-0000-0000-000080090000}"/>
    <cellStyle name="40% - Ênfase5 13 3 2" xfId="2436" xr:uid="{00000000-0005-0000-0000-000081090000}"/>
    <cellStyle name="40% - Ênfase5 13 4" xfId="2437" xr:uid="{00000000-0005-0000-0000-000082090000}"/>
    <cellStyle name="40% - Ênfase5 14" xfId="2438" xr:uid="{00000000-0005-0000-0000-000083090000}"/>
    <cellStyle name="40% - Ênfase5 14 2" xfId="2439" xr:uid="{00000000-0005-0000-0000-000084090000}"/>
    <cellStyle name="40% - Ênfase5 14 2 2" xfId="2440" xr:uid="{00000000-0005-0000-0000-000085090000}"/>
    <cellStyle name="40% - Ênfase5 14 3" xfId="2441" xr:uid="{00000000-0005-0000-0000-000086090000}"/>
    <cellStyle name="40% - Ênfase5 14 3 2" xfId="2442" xr:uid="{00000000-0005-0000-0000-000087090000}"/>
    <cellStyle name="40% - Ênfase5 14 4" xfId="2443" xr:uid="{00000000-0005-0000-0000-000088090000}"/>
    <cellStyle name="40% - Ênfase5 15" xfId="2444" xr:uid="{00000000-0005-0000-0000-000089090000}"/>
    <cellStyle name="40% - Ênfase5 15 2" xfId="2445" xr:uid="{00000000-0005-0000-0000-00008A090000}"/>
    <cellStyle name="40% - Ênfase5 16" xfId="2446" xr:uid="{00000000-0005-0000-0000-00008B090000}"/>
    <cellStyle name="40% - Ênfase5 16 2" xfId="2447" xr:uid="{00000000-0005-0000-0000-00008C090000}"/>
    <cellStyle name="40% - Ênfase5 17" xfId="2448" xr:uid="{00000000-0005-0000-0000-00008D090000}"/>
    <cellStyle name="40% - Ênfase5 17 2" xfId="2449" xr:uid="{00000000-0005-0000-0000-00008E090000}"/>
    <cellStyle name="40% - Ênfase5 18" xfId="2450" xr:uid="{00000000-0005-0000-0000-00008F090000}"/>
    <cellStyle name="40% - Ênfase5 18 2" xfId="2451" xr:uid="{00000000-0005-0000-0000-000090090000}"/>
    <cellStyle name="40% - Ênfase5 19" xfId="2452" xr:uid="{00000000-0005-0000-0000-000091090000}"/>
    <cellStyle name="40% - Ênfase5 19 2" xfId="2453" xr:uid="{00000000-0005-0000-0000-000092090000}"/>
    <cellStyle name="40% - Ênfase5 2" xfId="2454" xr:uid="{00000000-0005-0000-0000-000093090000}"/>
    <cellStyle name="40% - Ênfase5 2 2" xfId="2455" xr:uid="{00000000-0005-0000-0000-000094090000}"/>
    <cellStyle name="40% - Ênfase5 2 2 2" xfId="2456" xr:uid="{00000000-0005-0000-0000-000095090000}"/>
    <cellStyle name="40% - Ênfase5 2 2 2 2" xfId="2457" xr:uid="{00000000-0005-0000-0000-000096090000}"/>
    <cellStyle name="40% - Ênfase5 2 2 2 2 2" xfId="2458" xr:uid="{00000000-0005-0000-0000-000097090000}"/>
    <cellStyle name="40% - Ênfase5 2 2 2 2 2 2" xfId="2459" xr:uid="{00000000-0005-0000-0000-000098090000}"/>
    <cellStyle name="40% - Ênfase5 2 2 2 2 2 2 2" xfId="2460" xr:uid="{00000000-0005-0000-0000-000099090000}"/>
    <cellStyle name="40% - Ênfase5 2 2 2 2 2 3" xfId="2461" xr:uid="{00000000-0005-0000-0000-00009A090000}"/>
    <cellStyle name="40% - Ênfase5 2 2 2 2 3" xfId="2462" xr:uid="{00000000-0005-0000-0000-00009B090000}"/>
    <cellStyle name="40% - Ênfase5 2 2 2 2 3 2" xfId="2463" xr:uid="{00000000-0005-0000-0000-00009C090000}"/>
    <cellStyle name="40% - Ênfase5 2 2 2 3" xfId="2464" xr:uid="{00000000-0005-0000-0000-00009D090000}"/>
    <cellStyle name="40% - Ênfase5 2 2 2 3 2" xfId="2465" xr:uid="{00000000-0005-0000-0000-00009E090000}"/>
    <cellStyle name="40% - Ênfase5 2 2 2_BD" xfId="2466" xr:uid="{00000000-0005-0000-0000-00009F090000}"/>
    <cellStyle name="40% - Ênfase5 2 2 3" xfId="2467" xr:uid="{00000000-0005-0000-0000-0000A0090000}"/>
    <cellStyle name="40% - Ênfase5 2 2 3 2" xfId="2468" xr:uid="{00000000-0005-0000-0000-0000A1090000}"/>
    <cellStyle name="40% - Ênfase5 2 2 4" xfId="2469" xr:uid="{00000000-0005-0000-0000-0000A2090000}"/>
    <cellStyle name="40% - Ênfase5 2 2 5" xfId="2470" xr:uid="{00000000-0005-0000-0000-0000A3090000}"/>
    <cellStyle name="40% - Ênfase5 2 2 5 2" xfId="2471" xr:uid="{00000000-0005-0000-0000-0000A4090000}"/>
    <cellStyle name="40% - Ênfase5 2 2_BD" xfId="2472" xr:uid="{00000000-0005-0000-0000-0000A5090000}"/>
    <cellStyle name="40% - Ênfase5 2 3" xfId="2473" xr:uid="{00000000-0005-0000-0000-0000A6090000}"/>
    <cellStyle name="40% - Ênfase5 2 3 2" xfId="2474" xr:uid="{00000000-0005-0000-0000-0000A7090000}"/>
    <cellStyle name="40% - Ênfase5 2 3_BD" xfId="2475" xr:uid="{00000000-0005-0000-0000-0000A8090000}"/>
    <cellStyle name="40% - Ênfase5 2 4" xfId="2476" xr:uid="{00000000-0005-0000-0000-0000A9090000}"/>
    <cellStyle name="40% - Ênfase5 2 5" xfId="2477" xr:uid="{00000000-0005-0000-0000-0000AA090000}"/>
    <cellStyle name="40% - Ênfase5 2 6" xfId="2478" xr:uid="{00000000-0005-0000-0000-0000AB090000}"/>
    <cellStyle name="40% - Ênfase5 2 6 2" xfId="2479" xr:uid="{00000000-0005-0000-0000-0000AC090000}"/>
    <cellStyle name="40% - Ênfase5 2_BD" xfId="2480" xr:uid="{00000000-0005-0000-0000-0000AD090000}"/>
    <cellStyle name="40% - Ênfase5 20" xfId="2481" xr:uid="{00000000-0005-0000-0000-0000AE090000}"/>
    <cellStyle name="40% - Ênfase5 20 2" xfId="2482" xr:uid="{00000000-0005-0000-0000-0000AF090000}"/>
    <cellStyle name="40% - Ênfase5 21" xfId="2483" xr:uid="{00000000-0005-0000-0000-0000B0090000}"/>
    <cellStyle name="40% - Ênfase5 21 2" xfId="2484" xr:uid="{00000000-0005-0000-0000-0000B1090000}"/>
    <cellStyle name="40% - Ênfase5 22" xfId="2485" xr:uid="{00000000-0005-0000-0000-0000B2090000}"/>
    <cellStyle name="40% - Ênfase5 22 2" xfId="2486" xr:uid="{00000000-0005-0000-0000-0000B3090000}"/>
    <cellStyle name="40% - Ênfase5 23" xfId="2487" xr:uid="{00000000-0005-0000-0000-0000B4090000}"/>
    <cellStyle name="40% - Ênfase5 23 2" xfId="2488" xr:uid="{00000000-0005-0000-0000-0000B5090000}"/>
    <cellStyle name="40% - Ênfase5 24" xfId="2489" xr:uid="{00000000-0005-0000-0000-0000B6090000}"/>
    <cellStyle name="40% - Ênfase5 24 2" xfId="2490" xr:uid="{00000000-0005-0000-0000-0000B7090000}"/>
    <cellStyle name="40% - Ênfase5 25" xfId="2491" xr:uid="{00000000-0005-0000-0000-0000B8090000}"/>
    <cellStyle name="40% - Ênfase5 25 2" xfId="2492" xr:uid="{00000000-0005-0000-0000-0000B9090000}"/>
    <cellStyle name="40% - Ênfase5 26" xfId="2493" xr:uid="{00000000-0005-0000-0000-0000BA090000}"/>
    <cellStyle name="40% - Ênfase5 26 2" xfId="2494" xr:uid="{00000000-0005-0000-0000-0000BB090000}"/>
    <cellStyle name="40% - Ênfase5 27" xfId="2495" xr:uid="{00000000-0005-0000-0000-0000BC090000}"/>
    <cellStyle name="40% - Ênfase5 27 2" xfId="2496" xr:uid="{00000000-0005-0000-0000-0000BD090000}"/>
    <cellStyle name="40% - Ênfase5 28" xfId="2497" xr:uid="{00000000-0005-0000-0000-0000BE090000}"/>
    <cellStyle name="40% - Ênfase5 28 2" xfId="2498" xr:uid="{00000000-0005-0000-0000-0000BF090000}"/>
    <cellStyle name="40% - Ênfase5 29" xfId="2499" xr:uid="{00000000-0005-0000-0000-0000C0090000}"/>
    <cellStyle name="40% - Ênfase5 3" xfId="2500" xr:uid="{00000000-0005-0000-0000-0000C1090000}"/>
    <cellStyle name="40% - Ênfase5 3 2" xfId="2501" xr:uid="{00000000-0005-0000-0000-0000C2090000}"/>
    <cellStyle name="40% - Ênfase5 3 2 2" xfId="2502" xr:uid="{00000000-0005-0000-0000-0000C3090000}"/>
    <cellStyle name="40% - Ênfase5 3 2_BD" xfId="2503" xr:uid="{00000000-0005-0000-0000-0000C4090000}"/>
    <cellStyle name="40% - Ênfase5 3 3" xfId="2504" xr:uid="{00000000-0005-0000-0000-0000C5090000}"/>
    <cellStyle name="40% - Ênfase5 3 3 2" xfId="2505" xr:uid="{00000000-0005-0000-0000-0000C6090000}"/>
    <cellStyle name="40% - Ênfase5 3 3_BD" xfId="2506" xr:uid="{00000000-0005-0000-0000-0000C7090000}"/>
    <cellStyle name="40% - Ênfase5 3 4" xfId="2507" xr:uid="{00000000-0005-0000-0000-0000C8090000}"/>
    <cellStyle name="40% - Ênfase5 30" xfId="2508" xr:uid="{00000000-0005-0000-0000-0000C9090000}"/>
    <cellStyle name="40% - Ênfase5 31" xfId="2509" xr:uid="{00000000-0005-0000-0000-0000CA090000}"/>
    <cellStyle name="40% - Ênfase5 32" xfId="2510" xr:uid="{00000000-0005-0000-0000-0000CB090000}"/>
    <cellStyle name="40% - Ênfase5 33" xfId="2511" xr:uid="{00000000-0005-0000-0000-0000CC090000}"/>
    <cellStyle name="40% - Ênfase5 34" xfId="2512" xr:uid="{00000000-0005-0000-0000-0000CD090000}"/>
    <cellStyle name="40% - Ênfase5 35" xfId="2513" xr:uid="{00000000-0005-0000-0000-0000CE090000}"/>
    <cellStyle name="40% - Ênfase5 36" xfId="2514" xr:uid="{00000000-0005-0000-0000-0000CF090000}"/>
    <cellStyle name="40% - Ênfase5 36 2" xfId="2515" xr:uid="{00000000-0005-0000-0000-0000D0090000}"/>
    <cellStyle name="40% - Ênfase5 36 3" xfId="2516" xr:uid="{00000000-0005-0000-0000-0000D1090000}"/>
    <cellStyle name="40% - Ênfase5 36 4" xfId="2517" xr:uid="{00000000-0005-0000-0000-0000D2090000}"/>
    <cellStyle name="40% - Ênfase5 37" xfId="2518" xr:uid="{00000000-0005-0000-0000-0000D3090000}"/>
    <cellStyle name="40% - Ênfase5 37 2" xfId="2519" xr:uid="{00000000-0005-0000-0000-0000D4090000}"/>
    <cellStyle name="40% - Ênfase5 37 3" xfId="2520" xr:uid="{00000000-0005-0000-0000-0000D5090000}"/>
    <cellStyle name="40% - Ênfase5 37 4" xfId="2521" xr:uid="{00000000-0005-0000-0000-0000D6090000}"/>
    <cellStyle name="40% - Ênfase5 38" xfId="2522" xr:uid="{00000000-0005-0000-0000-0000D7090000}"/>
    <cellStyle name="40% - Ênfase5 38 2" xfId="2523" xr:uid="{00000000-0005-0000-0000-0000D8090000}"/>
    <cellStyle name="40% - Ênfase5 38 3" xfId="2524" xr:uid="{00000000-0005-0000-0000-0000D9090000}"/>
    <cellStyle name="40% - Ênfase5 38 4" xfId="2525" xr:uid="{00000000-0005-0000-0000-0000DA090000}"/>
    <cellStyle name="40% - Ênfase5 39" xfId="2526" xr:uid="{00000000-0005-0000-0000-0000DB090000}"/>
    <cellStyle name="40% - Ênfase5 39 2" xfId="2527" xr:uid="{00000000-0005-0000-0000-0000DC090000}"/>
    <cellStyle name="40% - Ênfase5 39 3" xfId="2528" xr:uid="{00000000-0005-0000-0000-0000DD090000}"/>
    <cellStyle name="40% - Ênfase5 39 4" xfId="2529" xr:uid="{00000000-0005-0000-0000-0000DE090000}"/>
    <cellStyle name="40% - Ênfase5 4" xfId="2530" xr:uid="{00000000-0005-0000-0000-0000DF090000}"/>
    <cellStyle name="40% - Ênfase5 4 2" xfId="2531" xr:uid="{00000000-0005-0000-0000-0000E0090000}"/>
    <cellStyle name="40% - Ênfase5 4 2 2" xfId="2532" xr:uid="{00000000-0005-0000-0000-0000E1090000}"/>
    <cellStyle name="40% - Ênfase5 4 2_BD" xfId="2533" xr:uid="{00000000-0005-0000-0000-0000E2090000}"/>
    <cellStyle name="40% - Ênfase5 4 3" xfId="2534" xr:uid="{00000000-0005-0000-0000-0000E3090000}"/>
    <cellStyle name="40% - Ênfase5 4 3 2" xfId="2535" xr:uid="{00000000-0005-0000-0000-0000E4090000}"/>
    <cellStyle name="40% - Ênfase5 4 3_BD" xfId="2536" xr:uid="{00000000-0005-0000-0000-0000E5090000}"/>
    <cellStyle name="40% - Ênfase5 4 4" xfId="2537" xr:uid="{00000000-0005-0000-0000-0000E6090000}"/>
    <cellStyle name="40% - Ênfase5 40" xfId="2538" xr:uid="{00000000-0005-0000-0000-0000E7090000}"/>
    <cellStyle name="40% - Ênfase5 40 2" xfId="2539" xr:uid="{00000000-0005-0000-0000-0000E8090000}"/>
    <cellStyle name="40% - Ênfase5 41" xfId="2540" xr:uid="{00000000-0005-0000-0000-0000E9090000}"/>
    <cellStyle name="40% - Ênfase5 42" xfId="2541" xr:uid="{00000000-0005-0000-0000-0000EA090000}"/>
    <cellStyle name="40% - Ênfase5 43" xfId="2542" xr:uid="{00000000-0005-0000-0000-0000EB090000}"/>
    <cellStyle name="40% - Ênfase5 44" xfId="2543" xr:uid="{00000000-0005-0000-0000-0000EC090000}"/>
    <cellStyle name="40% - Ênfase5 45" xfId="2544" xr:uid="{00000000-0005-0000-0000-0000ED090000}"/>
    <cellStyle name="40% - Ênfase5 46" xfId="2545" xr:uid="{00000000-0005-0000-0000-0000EE090000}"/>
    <cellStyle name="40% - Ênfase5 47" xfId="2546" xr:uid="{00000000-0005-0000-0000-0000EF090000}"/>
    <cellStyle name="40% - Ênfase5 48" xfId="2547" xr:uid="{00000000-0005-0000-0000-0000F0090000}"/>
    <cellStyle name="40% - Ênfase5 49" xfId="2548" xr:uid="{00000000-0005-0000-0000-0000F1090000}"/>
    <cellStyle name="40% - Ênfase5 5" xfId="2549" xr:uid="{00000000-0005-0000-0000-0000F2090000}"/>
    <cellStyle name="40% - Ênfase5 5 2" xfId="2550" xr:uid="{00000000-0005-0000-0000-0000F3090000}"/>
    <cellStyle name="40% - Ênfase5 5 2 2" xfId="2551" xr:uid="{00000000-0005-0000-0000-0000F4090000}"/>
    <cellStyle name="40% - Ênfase5 5 2_BD" xfId="2552" xr:uid="{00000000-0005-0000-0000-0000F5090000}"/>
    <cellStyle name="40% - Ênfase5 5 3" xfId="2553" xr:uid="{00000000-0005-0000-0000-0000F6090000}"/>
    <cellStyle name="40% - Ênfase5 5 3 2" xfId="2554" xr:uid="{00000000-0005-0000-0000-0000F7090000}"/>
    <cellStyle name="40% - Ênfase5 5 4" xfId="2555" xr:uid="{00000000-0005-0000-0000-0000F8090000}"/>
    <cellStyle name="40% - Ênfase5 50" xfId="2556" xr:uid="{00000000-0005-0000-0000-0000F9090000}"/>
    <cellStyle name="40% - Ênfase5 51" xfId="2557" xr:uid="{00000000-0005-0000-0000-0000FA090000}"/>
    <cellStyle name="40% - Ênfase5 52" xfId="2558" xr:uid="{00000000-0005-0000-0000-0000FB090000}"/>
    <cellStyle name="40% - Ênfase5 53" xfId="2559" xr:uid="{00000000-0005-0000-0000-0000FC090000}"/>
    <cellStyle name="40% - Ênfase5 54" xfId="2560" xr:uid="{00000000-0005-0000-0000-0000FD090000}"/>
    <cellStyle name="40% - Ênfase5 55" xfId="2561" xr:uid="{00000000-0005-0000-0000-0000FE090000}"/>
    <cellStyle name="40% - Ênfase5 56" xfId="2562" xr:uid="{00000000-0005-0000-0000-0000FF090000}"/>
    <cellStyle name="40% - Ênfase5 57" xfId="2563" xr:uid="{00000000-0005-0000-0000-0000000A0000}"/>
    <cellStyle name="40% - Ênfase5 58" xfId="2564" xr:uid="{00000000-0005-0000-0000-0000010A0000}"/>
    <cellStyle name="40% - Ênfase5 59" xfId="2565" xr:uid="{00000000-0005-0000-0000-0000020A0000}"/>
    <cellStyle name="40% - Ênfase5 6" xfId="2566" xr:uid="{00000000-0005-0000-0000-0000030A0000}"/>
    <cellStyle name="40% - Ênfase5 6 2" xfId="2567" xr:uid="{00000000-0005-0000-0000-0000040A0000}"/>
    <cellStyle name="40% - Ênfase5 6 2 2" xfId="2568" xr:uid="{00000000-0005-0000-0000-0000050A0000}"/>
    <cellStyle name="40% - Ênfase5 6 2_BD" xfId="2569" xr:uid="{00000000-0005-0000-0000-0000060A0000}"/>
    <cellStyle name="40% - Ênfase5 6 3" xfId="2570" xr:uid="{00000000-0005-0000-0000-0000070A0000}"/>
    <cellStyle name="40% - Ênfase5 6 3 2" xfId="2571" xr:uid="{00000000-0005-0000-0000-0000080A0000}"/>
    <cellStyle name="40% - Ênfase5 6 4" xfId="2572" xr:uid="{00000000-0005-0000-0000-0000090A0000}"/>
    <cellStyle name="40% - Ênfase5 60" xfId="2573" xr:uid="{00000000-0005-0000-0000-00000A0A0000}"/>
    <cellStyle name="40% - Ênfase5 61" xfId="2574" xr:uid="{00000000-0005-0000-0000-00000B0A0000}"/>
    <cellStyle name="40% - Ênfase5 62" xfId="2575" xr:uid="{00000000-0005-0000-0000-00000C0A0000}"/>
    <cellStyle name="40% - Ênfase5 63" xfId="2576" xr:uid="{00000000-0005-0000-0000-00000D0A0000}"/>
    <cellStyle name="40% - Ênfase5 64" xfId="2577" xr:uid="{00000000-0005-0000-0000-00000E0A0000}"/>
    <cellStyle name="40% - Ênfase5 65" xfId="2578" xr:uid="{00000000-0005-0000-0000-00000F0A0000}"/>
    <cellStyle name="40% - Ênfase5 66" xfId="2579" xr:uid="{00000000-0005-0000-0000-0000100A0000}"/>
    <cellStyle name="40% - Ênfase5 67" xfId="2580" xr:uid="{00000000-0005-0000-0000-0000110A0000}"/>
    <cellStyle name="40% - Ênfase5 68" xfId="2581" xr:uid="{00000000-0005-0000-0000-0000120A0000}"/>
    <cellStyle name="40% - Ênfase5 69" xfId="2582" xr:uid="{00000000-0005-0000-0000-0000130A0000}"/>
    <cellStyle name="40% - Ênfase5 7" xfId="2583" xr:uid="{00000000-0005-0000-0000-0000140A0000}"/>
    <cellStyle name="40% - Ênfase5 7 2" xfId="2584" xr:uid="{00000000-0005-0000-0000-0000150A0000}"/>
    <cellStyle name="40% - Ênfase5 7 2 2" xfId="2585" xr:uid="{00000000-0005-0000-0000-0000160A0000}"/>
    <cellStyle name="40% - Ênfase5 7 2_BD" xfId="2586" xr:uid="{00000000-0005-0000-0000-0000170A0000}"/>
    <cellStyle name="40% - Ênfase5 7 3" xfId="2587" xr:uid="{00000000-0005-0000-0000-0000180A0000}"/>
    <cellStyle name="40% - Ênfase5 7 3 2" xfId="2588" xr:uid="{00000000-0005-0000-0000-0000190A0000}"/>
    <cellStyle name="40% - Ênfase5 7 4" xfId="2589" xr:uid="{00000000-0005-0000-0000-00001A0A0000}"/>
    <cellStyle name="40% - Ênfase5 70" xfId="2590" xr:uid="{00000000-0005-0000-0000-00001B0A0000}"/>
    <cellStyle name="40% - Ênfase5 71" xfId="2591" xr:uid="{00000000-0005-0000-0000-00001C0A0000}"/>
    <cellStyle name="40% - Ênfase5 72" xfId="2592" xr:uid="{00000000-0005-0000-0000-00001D0A0000}"/>
    <cellStyle name="40% - Ênfase5 73" xfId="2593" xr:uid="{00000000-0005-0000-0000-00001E0A0000}"/>
    <cellStyle name="40% - Ênfase5 74" xfId="2594" xr:uid="{00000000-0005-0000-0000-00001F0A0000}"/>
    <cellStyle name="40% - Ênfase5 75" xfId="2595" xr:uid="{00000000-0005-0000-0000-0000200A0000}"/>
    <cellStyle name="40% - Ênfase5 76" xfId="2596" xr:uid="{00000000-0005-0000-0000-0000210A0000}"/>
    <cellStyle name="40% - Ênfase5 77" xfId="2597" xr:uid="{00000000-0005-0000-0000-0000220A0000}"/>
    <cellStyle name="40% - Ênfase5 78" xfId="2598" xr:uid="{00000000-0005-0000-0000-0000230A0000}"/>
    <cellStyle name="40% - Ênfase5 79" xfId="2599" xr:uid="{00000000-0005-0000-0000-0000240A0000}"/>
    <cellStyle name="40% - Ênfase5 8" xfId="2600" xr:uid="{00000000-0005-0000-0000-0000250A0000}"/>
    <cellStyle name="40% - Ênfase5 8 2" xfId="2601" xr:uid="{00000000-0005-0000-0000-0000260A0000}"/>
    <cellStyle name="40% - Ênfase5 8 2 2" xfId="2602" xr:uid="{00000000-0005-0000-0000-0000270A0000}"/>
    <cellStyle name="40% - Ênfase5 8 3" xfId="2603" xr:uid="{00000000-0005-0000-0000-0000280A0000}"/>
    <cellStyle name="40% - Ênfase5 8 3 2" xfId="2604" xr:uid="{00000000-0005-0000-0000-0000290A0000}"/>
    <cellStyle name="40% - Ênfase5 8 4" xfId="2605" xr:uid="{00000000-0005-0000-0000-00002A0A0000}"/>
    <cellStyle name="40% - Ênfase5 80" xfId="2606" xr:uid="{00000000-0005-0000-0000-00002B0A0000}"/>
    <cellStyle name="40% - Ênfase5 81" xfId="2607" xr:uid="{00000000-0005-0000-0000-00002C0A0000}"/>
    <cellStyle name="40% - Ênfase5 82" xfId="2608" xr:uid="{00000000-0005-0000-0000-00002D0A0000}"/>
    <cellStyle name="40% - Ênfase5 83" xfId="2609" xr:uid="{00000000-0005-0000-0000-00002E0A0000}"/>
    <cellStyle name="40% - Ênfase5 84" xfId="2610" xr:uid="{00000000-0005-0000-0000-00002F0A0000}"/>
    <cellStyle name="40% - Ênfase5 85" xfId="2611" xr:uid="{00000000-0005-0000-0000-0000300A0000}"/>
    <cellStyle name="40% - Ênfase5 86" xfId="2612" xr:uid="{00000000-0005-0000-0000-0000310A0000}"/>
    <cellStyle name="40% - Ênfase5 87" xfId="2613" xr:uid="{00000000-0005-0000-0000-0000320A0000}"/>
    <cellStyle name="40% - Ênfase5 88" xfId="2614" xr:uid="{00000000-0005-0000-0000-0000330A0000}"/>
    <cellStyle name="40% - Ênfase5 89" xfId="2615" xr:uid="{00000000-0005-0000-0000-0000340A0000}"/>
    <cellStyle name="40% - Ênfase5 9" xfId="2616" xr:uid="{00000000-0005-0000-0000-0000350A0000}"/>
    <cellStyle name="40% - Ênfase5 9 2" xfId="2617" xr:uid="{00000000-0005-0000-0000-0000360A0000}"/>
    <cellStyle name="40% - Ênfase5 9 2 2" xfId="2618" xr:uid="{00000000-0005-0000-0000-0000370A0000}"/>
    <cellStyle name="40% - Ênfase5 9 3" xfId="2619" xr:uid="{00000000-0005-0000-0000-0000380A0000}"/>
    <cellStyle name="40% - Ênfase5 9 3 2" xfId="2620" xr:uid="{00000000-0005-0000-0000-0000390A0000}"/>
    <cellStyle name="40% - Ênfase5 9 4" xfId="2621" xr:uid="{00000000-0005-0000-0000-00003A0A0000}"/>
    <cellStyle name="40% - Ênfase5 90" xfId="2622" xr:uid="{00000000-0005-0000-0000-00003B0A0000}"/>
    <cellStyle name="40% - Ênfase5 91" xfId="2623" xr:uid="{00000000-0005-0000-0000-00003C0A0000}"/>
    <cellStyle name="40% - Ênfase5 92" xfId="2624" xr:uid="{00000000-0005-0000-0000-00003D0A0000}"/>
    <cellStyle name="40% - Ênfase5 93" xfId="2625" xr:uid="{00000000-0005-0000-0000-00003E0A0000}"/>
    <cellStyle name="40% - Ênfase5 94" xfId="2626" xr:uid="{00000000-0005-0000-0000-00003F0A0000}"/>
    <cellStyle name="40% - Ênfase5 95" xfId="2627" xr:uid="{00000000-0005-0000-0000-0000400A0000}"/>
    <cellStyle name="40% - Ênfase5 96" xfId="2628" xr:uid="{00000000-0005-0000-0000-0000410A0000}"/>
    <cellStyle name="40% - Ênfase5 97" xfId="2629" xr:uid="{00000000-0005-0000-0000-0000420A0000}"/>
    <cellStyle name="40% - Ênfase5 98" xfId="2630" xr:uid="{00000000-0005-0000-0000-0000430A0000}"/>
    <cellStyle name="40% - Ênfase5 99" xfId="2631" xr:uid="{00000000-0005-0000-0000-0000440A0000}"/>
    <cellStyle name="40% - Ênfase6 10" xfId="2632" xr:uid="{00000000-0005-0000-0000-0000450A0000}"/>
    <cellStyle name="40% - Ênfase6 10 2" xfId="2633" xr:uid="{00000000-0005-0000-0000-0000460A0000}"/>
    <cellStyle name="40% - Ênfase6 10 2 2" xfId="2634" xr:uid="{00000000-0005-0000-0000-0000470A0000}"/>
    <cellStyle name="40% - Ênfase6 10 3" xfId="2635" xr:uid="{00000000-0005-0000-0000-0000480A0000}"/>
    <cellStyle name="40% - Ênfase6 10 3 2" xfId="2636" xr:uid="{00000000-0005-0000-0000-0000490A0000}"/>
    <cellStyle name="40% - Ênfase6 10 4" xfId="2637" xr:uid="{00000000-0005-0000-0000-00004A0A0000}"/>
    <cellStyle name="40% - Ênfase6 100" xfId="2638" xr:uid="{00000000-0005-0000-0000-00004B0A0000}"/>
    <cellStyle name="40% - Ênfase6 101" xfId="2639" xr:uid="{00000000-0005-0000-0000-00004C0A0000}"/>
    <cellStyle name="40% - Ênfase6 102" xfId="2640" xr:uid="{00000000-0005-0000-0000-00004D0A0000}"/>
    <cellStyle name="40% - Ênfase6 103" xfId="2641" xr:uid="{00000000-0005-0000-0000-00004E0A0000}"/>
    <cellStyle name="40% - Ênfase6 104" xfId="2642" xr:uid="{00000000-0005-0000-0000-00004F0A0000}"/>
    <cellStyle name="40% - Ênfase6 105" xfId="2643" xr:uid="{00000000-0005-0000-0000-0000500A0000}"/>
    <cellStyle name="40% - Ênfase6 106" xfId="2644" xr:uid="{00000000-0005-0000-0000-0000510A0000}"/>
    <cellStyle name="40% - Ênfase6 107" xfId="2645" xr:uid="{00000000-0005-0000-0000-0000520A0000}"/>
    <cellStyle name="40% - Ênfase6 108" xfId="2646" xr:uid="{00000000-0005-0000-0000-0000530A0000}"/>
    <cellStyle name="40% - Ênfase6 109" xfId="2647" xr:uid="{00000000-0005-0000-0000-0000540A0000}"/>
    <cellStyle name="40% - Ênfase6 11" xfId="2648" xr:uid="{00000000-0005-0000-0000-0000550A0000}"/>
    <cellStyle name="40% - Ênfase6 11 2" xfId="2649" xr:uid="{00000000-0005-0000-0000-0000560A0000}"/>
    <cellStyle name="40% - Ênfase6 11 2 2" xfId="2650" xr:uid="{00000000-0005-0000-0000-0000570A0000}"/>
    <cellStyle name="40% - Ênfase6 11 3" xfId="2651" xr:uid="{00000000-0005-0000-0000-0000580A0000}"/>
    <cellStyle name="40% - Ênfase6 11 3 2" xfId="2652" xr:uid="{00000000-0005-0000-0000-0000590A0000}"/>
    <cellStyle name="40% - Ênfase6 11 4" xfId="2653" xr:uid="{00000000-0005-0000-0000-00005A0A0000}"/>
    <cellStyle name="40% - Ênfase6 110" xfId="2654" xr:uid="{00000000-0005-0000-0000-00005B0A0000}"/>
    <cellStyle name="40% - Ênfase6 111" xfId="2655" xr:uid="{00000000-0005-0000-0000-00005C0A0000}"/>
    <cellStyle name="40% - Ênfase6 112" xfId="2656" xr:uid="{00000000-0005-0000-0000-00005D0A0000}"/>
    <cellStyle name="40% - Ênfase6 113" xfId="2657" xr:uid="{00000000-0005-0000-0000-00005E0A0000}"/>
    <cellStyle name="40% - Ênfase6 114" xfId="2658" xr:uid="{00000000-0005-0000-0000-00005F0A0000}"/>
    <cellStyle name="40% - Ênfase6 115" xfId="2659" xr:uid="{00000000-0005-0000-0000-0000600A0000}"/>
    <cellStyle name="40% - Ênfase6 116" xfId="2660" xr:uid="{00000000-0005-0000-0000-0000610A0000}"/>
    <cellStyle name="40% - Ênfase6 117" xfId="2661" xr:uid="{00000000-0005-0000-0000-0000620A0000}"/>
    <cellStyle name="40% - Ênfase6 118" xfId="2662" xr:uid="{00000000-0005-0000-0000-0000630A0000}"/>
    <cellStyle name="40% - Ênfase6 119" xfId="2663" xr:uid="{00000000-0005-0000-0000-0000640A0000}"/>
    <cellStyle name="40% - Ênfase6 12" xfId="2664" xr:uid="{00000000-0005-0000-0000-0000650A0000}"/>
    <cellStyle name="40% - Ênfase6 12 2" xfId="2665" xr:uid="{00000000-0005-0000-0000-0000660A0000}"/>
    <cellStyle name="40% - Ênfase6 12 2 2" xfId="2666" xr:uid="{00000000-0005-0000-0000-0000670A0000}"/>
    <cellStyle name="40% - Ênfase6 12 3" xfId="2667" xr:uid="{00000000-0005-0000-0000-0000680A0000}"/>
    <cellStyle name="40% - Ênfase6 12 3 2" xfId="2668" xr:uid="{00000000-0005-0000-0000-0000690A0000}"/>
    <cellStyle name="40% - Ênfase6 12 4" xfId="2669" xr:uid="{00000000-0005-0000-0000-00006A0A0000}"/>
    <cellStyle name="40% - Ênfase6 120" xfId="2670" xr:uid="{00000000-0005-0000-0000-00006B0A0000}"/>
    <cellStyle name="40% - Ênfase6 13" xfId="2671" xr:uid="{00000000-0005-0000-0000-00006C0A0000}"/>
    <cellStyle name="40% - Ênfase6 13 2" xfId="2672" xr:uid="{00000000-0005-0000-0000-00006D0A0000}"/>
    <cellStyle name="40% - Ênfase6 13 2 2" xfId="2673" xr:uid="{00000000-0005-0000-0000-00006E0A0000}"/>
    <cellStyle name="40% - Ênfase6 13 3" xfId="2674" xr:uid="{00000000-0005-0000-0000-00006F0A0000}"/>
    <cellStyle name="40% - Ênfase6 13 3 2" xfId="2675" xr:uid="{00000000-0005-0000-0000-0000700A0000}"/>
    <cellStyle name="40% - Ênfase6 13 4" xfId="2676" xr:uid="{00000000-0005-0000-0000-0000710A0000}"/>
    <cellStyle name="40% - Ênfase6 14" xfId="2677" xr:uid="{00000000-0005-0000-0000-0000720A0000}"/>
    <cellStyle name="40% - Ênfase6 14 2" xfId="2678" xr:uid="{00000000-0005-0000-0000-0000730A0000}"/>
    <cellStyle name="40% - Ênfase6 14 2 2" xfId="2679" xr:uid="{00000000-0005-0000-0000-0000740A0000}"/>
    <cellStyle name="40% - Ênfase6 14 3" xfId="2680" xr:uid="{00000000-0005-0000-0000-0000750A0000}"/>
    <cellStyle name="40% - Ênfase6 14 3 2" xfId="2681" xr:uid="{00000000-0005-0000-0000-0000760A0000}"/>
    <cellStyle name="40% - Ênfase6 14 4" xfId="2682" xr:uid="{00000000-0005-0000-0000-0000770A0000}"/>
    <cellStyle name="40% - Ênfase6 15" xfId="2683" xr:uid="{00000000-0005-0000-0000-0000780A0000}"/>
    <cellStyle name="40% - Ênfase6 15 2" xfId="2684" xr:uid="{00000000-0005-0000-0000-0000790A0000}"/>
    <cellStyle name="40% - Ênfase6 16" xfId="2685" xr:uid="{00000000-0005-0000-0000-00007A0A0000}"/>
    <cellStyle name="40% - Ênfase6 16 2" xfId="2686" xr:uid="{00000000-0005-0000-0000-00007B0A0000}"/>
    <cellStyle name="40% - Ênfase6 17" xfId="2687" xr:uid="{00000000-0005-0000-0000-00007C0A0000}"/>
    <cellStyle name="40% - Ênfase6 17 2" xfId="2688" xr:uid="{00000000-0005-0000-0000-00007D0A0000}"/>
    <cellStyle name="40% - Ênfase6 18" xfId="2689" xr:uid="{00000000-0005-0000-0000-00007E0A0000}"/>
    <cellStyle name="40% - Ênfase6 18 2" xfId="2690" xr:uid="{00000000-0005-0000-0000-00007F0A0000}"/>
    <cellStyle name="40% - Ênfase6 19" xfId="2691" xr:uid="{00000000-0005-0000-0000-0000800A0000}"/>
    <cellStyle name="40% - Ênfase6 19 2" xfId="2692" xr:uid="{00000000-0005-0000-0000-0000810A0000}"/>
    <cellStyle name="40% - Ênfase6 2" xfId="2693" xr:uid="{00000000-0005-0000-0000-0000820A0000}"/>
    <cellStyle name="40% - Ênfase6 2 2" xfId="2694" xr:uid="{00000000-0005-0000-0000-0000830A0000}"/>
    <cellStyle name="40% - Ênfase6 2 2 2" xfId="2695" xr:uid="{00000000-0005-0000-0000-0000840A0000}"/>
    <cellStyle name="40% - Ênfase6 2 2 2 2" xfId="2696" xr:uid="{00000000-0005-0000-0000-0000850A0000}"/>
    <cellStyle name="40% - Ênfase6 2 2 2 2 2" xfId="2697" xr:uid="{00000000-0005-0000-0000-0000860A0000}"/>
    <cellStyle name="40% - Ênfase6 2 2 2 2 2 2" xfId="2698" xr:uid="{00000000-0005-0000-0000-0000870A0000}"/>
    <cellStyle name="40% - Ênfase6 2 2 2 2 2 2 2" xfId="2699" xr:uid="{00000000-0005-0000-0000-0000880A0000}"/>
    <cellStyle name="40% - Ênfase6 2 2 2 2 2 3" xfId="2700" xr:uid="{00000000-0005-0000-0000-0000890A0000}"/>
    <cellStyle name="40% - Ênfase6 2 2 2 2 3" xfId="2701" xr:uid="{00000000-0005-0000-0000-00008A0A0000}"/>
    <cellStyle name="40% - Ênfase6 2 2 2 2 3 2" xfId="2702" xr:uid="{00000000-0005-0000-0000-00008B0A0000}"/>
    <cellStyle name="40% - Ênfase6 2 2 2 3" xfId="2703" xr:uid="{00000000-0005-0000-0000-00008C0A0000}"/>
    <cellStyle name="40% - Ênfase6 2 2 2 3 2" xfId="2704" xr:uid="{00000000-0005-0000-0000-00008D0A0000}"/>
    <cellStyle name="40% - Ênfase6 2 2 2_BD" xfId="2705" xr:uid="{00000000-0005-0000-0000-00008E0A0000}"/>
    <cellStyle name="40% - Ênfase6 2 2 3" xfId="2706" xr:uid="{00000000-0005-0000-0000-00008F0A0000}"/>
    <cellStyle name="40% - Ênfase6 2 2 3 2" xfId="2707" xr:uid="{00000000-0005-0000-0000-0000900A0000}"/>
    <cellStyle name="40% - Ênfase6 2 2 4" xfId="2708" xr:uid="{00000000-0005-0000-0000-0000910A0000}"/>
    <cellStyle name="40% - Ênfase6 2 2 5" xfId="2709" xr:uid="{00000000-0005-0000-0000-0000920A0000}"/>
    <cellStyle name="40% - Ênfase6 2 2 5 2" xfId="2710" xr:uid="{00000000-0005-0000-0000-0000930A0000}"/>
    <cellStyle name="40% - Ênfase6 2 2_BD" xfId="2711" xr:uid="{00000000-0005-0000-0000-0000940A0000}"/>
    <cellStyle name="40% - Ênfase6 2 3" xfId="2712" xr:uid="{00000000-0005-0000-0000-0000950A0000}"/>
    <cellStyle name="40% - Ênfase6 2 3 2" xfId="2713" xr:uid="{00000000-0005-0000-0000-0000960A0000}"/>
    <cellStyle name="40% - Ênfase6 2 3_BD" xfId="2714" xr:uid="{00000000-0005-0000-0000-0000970A0000}"/>
    <cellStyle name="40% - Ênfase6 2 4" xfId="2715" xr:uid="{00000000-0005-0000-0000-0000980A0000}"/>
    <cellStyle name="40% - Ênfase6 2 5" xfId="2716" xr:uid="{00000000-0005-0000-0000-0000990A0000}"/>
    <cellStyle name="40% - Ênfase6 2 6" xfId="2717" xr:uid="{00000000-0005-0000-0000-00009A0A0000}"/>
    <cellStyle name="40% - Ênfase6 2 6 2" xfId="2718" xr:uid="{00000000-0005-0000-0000-00009B0A0000}"/>
    <cellStyle name="40% - Ênfase6 2_BD" xfId="2719" xr:uid="{00000000-0005-0000-0000-00009C0A0000}"/>
    <cellStyle name="40% - Ênfase6 20" xfId="2720" xr:uid="{00000000-0005-0000-0000-00009D0A0000}"/>
    <cellStyle name="40% - Ênfase6 20 2" xfId="2721" xr:uid="{00000000-0005-0000-0000-00009E0A0000}"/>
    <cellStyle name="40% - Ênfase6 21" xfId="2722" xr:uid="{00000000-0005-0000-0000-00009F0A0000}"/>
    <cellStyle name="40% - Ênfase6 21 2" xfId="2723" xr:uid="{00000000-0005-0000-0000-0000A00A0000}"/>
    <cellStyle name="40% - Ênfase6 22" xfId="2724" xr:uid="{00000000-0005-0000-0000-0000A10A0000}"/>
    <cellStyle name="40% - Ênfase6 22 2" xfId="2725" xr:uid="{00000000-0005-0000-0000-0000A20A0000}"/>
    <cellStyle name="40% - Ênfase6 23" xfId="2726" xr:uid="{00000000-0005-0000-0000-0000A30A0000}"/>
    <cellStyle name="40% - Ênfase6 23 2" xfId="2727" xr:uid="{00000000-0005-0000-0000-0000A40A0000}"/>
    <cellStyle name="40% - Ênfase6 24" xfId="2728" xr:uid="{00000000-0005-0000-0000-0000A50A0000}"/>
    <cellStyle name="40% - Ênfase6 24 2" xfId="2729" xr:uid="{00000000-0005-0000-0000-0000A60A0000}"/>
    <cellStyle name="40% - Ênfase6 25" xfId="2730" xr:uid="{00000000-0005-0000-0000-0000A70A0000}"/>
    <cellStyle name="40% - Ênfase6 25 2" xfId="2731" xr:uid="{00000000-0005-0000-0000-0000A80A0000}"/>
    <cellStyle name="40% - Ênfase6 26" xfId="2732" xr:uid="{00000000-0005-0000-0000-0000A90A0000}"/>
    <cellStyle name="40% - Ênfase6 26 2" xfId="2733" xr:uid="{00000000-0005-0000-0000-0000AA0A0000}"/>
    <cellStyle name="40% - Ênfase6 27" xfId="2734" xr:uid="{00000000-0005-0000-0000-0000AB0A0000}"/>
    <cellStyle name="40% - Ênfase6 27 2" xfId="2735" xr:uid="{00000000-0005-0000-0000-0000AC0A0000}"/>
    <cellStyle name="40% - Ênfase6 28" xfId="2736" xr:uid="{00000000-0005-0000-0000-0000AD0A0000}"/>
    <cellStyle name="40% - Ênfase6 28 2" xfId="2737" xr:uid="{00000000-0005-0000-0000-0000AE0A0000}"/>
    <cellStyle name="40% - Ênfase6 29" xfId="2738" xr:uid="{00000000-0005-0000-0000-0000AF0A0000}"/>
    <cellStyle name="40% - Ênfase6 3" xfId="2739" xr:uid="{00000000-0005-0000-0000-0000B00A0000}"/>
    <cellStyle name="40% - Ênfase6 3 2" xfId="2740" xr:uid="{00000000-0005-0000-0000-0000B10A0000}"/>
    <cellStyle name="40% - Ênfase6 3 2 2" xfId="2741" xr:uid="{00000000-0005-0000-0000-0000B20A0000}"/>
    <cellStyle name="40% - Ênfase6 3 2_BD" xfId="2742" xr:uid="{00000000-0005-0000-0000-0000B30A0000}"/>
    <cellStyle name="40% - Ênfase6 3 3" xfId="2743" xr:uid="{00000000-0005-0000-0000-0000B40A0000}"/>
    <cellStyle name="40% - Ênfase6 3 3 2" xfId="2744" xr:uid="{00000000-0005-0000-0000-0000B50A0000}"/>
    <cellStyle name="40% - Ênfase6 3 3_BD" xfId="2745" xr:uid="{00000000-0005-0000-0000-0000B60A0000}"/>
    <cellStyle name="40% - Ênfase6 3 4" xfId="2746" xr:uid="{00000000-0005-0000-0000-0000B70A0000}"/>
    <cellStyle name="40% - Ênfase6 30" xfId="2747" xr:uid="{00000000-0005-0000-0000-0000B80A0000}"/>
    <cellStyle name="40% - Ênfase6 31" xfId="2748" xr:uid="{00000000-0005-0000-0000-0000B90A0000}"/>
    <cellStyle name="40% - Ênfase6 32" xfId="2749" xr:uid="{00000000-0005-0000-0000-0000BA0A0000}"/>
    <cellStyle name="40% - Ênfase6 33" xfId="2750" xr:uid="{00000000-0005-0000-0000-0000BB0A0000}"/>
    <cellStyle name="40% - Ênfase6 34" xfId="2751" xr:uid="{00000000-0005-0000-0000-0000BC0A0000}"/>
    <cellStyle name="40% - Ênfase6 35" xfId="2752" xr:uid="{00000000-0005-0000-0000-0000BD0A0000}"/>
    <cellStyle name="40% - Ênfase6 36" xfId="2753" xr:uid="{00000000-0005-0000-0000-0000BE0A0000}"/>
    <cellStyle name="40% - Ênfase6 36 2" xfId="2754" xr:uid="{00000000-0005-0000-0000-0000BF0A0000}"/>
    <cellStyle name="40% - Ênfase6 36 3" xfId="2755" xr:uid="{00000000-0005-0000-0000-0000C00A0000}"/>
    <cellStyle name="40% - Ênfase6 36 4" xfId="2756" xr:uid="{00000000-0005-0000-0000-0000C10A0000}"/>
    <cellStyle name="40% - Ênfase6 37" xfId="2757" xr:uid="{00000000-0005-0000-0000-0000C20A0000}"/>
    <cellStyle name="40% - Ênfase6 37 2" xfId="2758" xr:uid="{00000000-0005-0000-0000-0000C30A0000}"/>
    <cellStyle name="40% - Ênfase6 37 3" xfId="2759" xr:uid="{00000000-0005-0000-0000-0000C40A0000}"/>
    <cellStyle name="40% - Ênfase6 37 4" xfId="2760" xr:uid="{00000000-0005-0000-0000-0000C50A0000}"/>
    <cellStyle name="40% - Ênfase6 38" xfId="2761" xr:uid="{00000000-0005-0000-0000-0000C60A0000}"/>
    <cellStyle name="40% - Ênfase6 38 2" xfId="2762" xr:uid="{00000000-0005-0000-0000-0000C70A0000}"/>
    <cellStyle name="40% - Ênfase6 38 3" xfId="2763" xr:uid="{00000000-0005-0000-0000-0000C80A0000}"/>
    <cellStyle name="40% - Ênfase6 38 4" xfId="2764" xr:uid="{00000000-0005-0000-0000-0000C90A0000}"/>
    <cellStyle name="40% - Ênfase6 39" xfId="2765" xr:uid="{00000000-0005-0000-0000-0000CA0A0000}"/>
    <cellStyle name="40% - Ênfase6 39 2" xfId="2766" xr:uid="{00000000-0005-0000-0000-0000CB0A0000}"/>
    <cellStyle name="40% - Ênfase6 39 3" xfId="2767" xr:uid="{00000000-0005-0000-0000-0000CC0A0000}"/>
    <cellStyle name="40% - Ênfase6 39 4" xfId="2768" xr:uid="{00000000-0005-0000-0000-0000CD0A0000}"/>
    <cellStyle name="40% - Ênfase6 4" xfId="2769" xr:uid="{00000000-0005-0000-0000-0000CE0A0000}"/>
    <cellStyle name="40% - Ênfase6 4 2" xfId="2770" xr:uid="{00000000-0005-0000-0000-0000CF0A0000}"/>
    <cellStyle name="40% - Ênfase6 4 2 2" xfId="2771" xr:uid="{00000000-0005-0000-0000-0000D00A0000}"/>
    <cellStyle name="40% - Ênfase6 4 2_BD" xfId="2772" xr:uid="{00000000-0005-0000-0000-0000D10A0000}"/>
    <cellStyle name="40% - Ênfase6 4 3" xfId="2773" xr:uid="{00000000-0005-0000-0000-0000D20A0000}"/>
    <cellStyle name="40% - Ênfase6 4 3 2" xfId="2774" xr:uid="{00000000-0005-0000-0000-0000D30A0000}"/>
    <cellStyle name="40% - Ênfase6 4 3_BD" xfId="2775" xr:uid="{00000000-0005-0000-0000-0000D40A0000}"/>
    <cellStyle name="40% - Ênfase6 4 4" xfId="2776" xr:uid="{00000000-0005-0000-0000-0000D50A0000}"/>
    <cellStyle name="40% - Ênfase6 40" xfId="2777" xr:uid="{00000000-0005-0000-0000-0000D60A0000}"/>
    <cellStyle name="40% - Ênfase6 40 2" xfId="2778" xr:uid="{00000000-0005-0000-0000-0000D70A0000}"/>
    <cellStyle name="40% - Ênfase6 41" xfId="2779" xr:uid="{00000000-0005-0000-0000-0000D80A0000}"/>
    <cellStyle name="40% - Ênfase6 42" xfId="2780" xr:uid="{00000000-0005-0000-0000-0000D90A0000}"/>
    <cellStyle name="40% - Ênfase6 43" xfId="2781" xr:uid="{00000000-0005-0000-0000-0000DA0A0000}"/>
    <cellStyle name="40% - Ênfase6 44" xfId="2782" xr:uid="{00000000-0005-0000-0000-0000DB0A0000}"/>
    <cellStyle name="40% - Ênfase6 45" xfId="2783" xr:uid="{00000000-0005-0000-0000-0000DC0A0000}"/>
    <cellStyle name="40% - Ênfase6 46" xfId="2784" xr:uid="{00000000-0005-0000-0000-0000DD0A0000}"/>
    <cellStyle name="40% - Ênfase6 47" xfId="2785" xr:uid="{00000000-0005-0000-0000-0000DE0A0000}"/>
    <cellStyle name="40% - Ênfase6 48" xfId="2786" xr:uid="{00000000-0005-0000-0000-0000DF0A0000}"/>
    <cellStyle name="40% - Ênfase6 49" xfId="2787" xr:uid="{00000000-0005-0000-0000-0000E00A0000}"/>
    <cellStyle name="40% - Ênfase6 5" xfId="2788" xr:uid="{00000000-0005-0000-0000-0000E10A0000}"/>
    <cellStyle name="40% - Ênfase6 5 2" xfId="2789" xr:uid="{00000000-0005-0000-0000-0000E20A0000}"/>
    <cellStyle name="40% - Ênfase6 5 2 2" xfId="2790" xr:uid="{00000000-0005-0000-0000-0000E30A0000}"/>
    <cellStyle name="40% - Ênfase6 5 2_BD" xfId="2791" xr:uid="{00000000-0005-0000-0000-0000E40A0000}"/>
    <cellStyle name="40% - Ênfase6 5 3" xfId="2792" xr:uid="{00000000-0005-0000-0000-0000E50A0000}"/>
    <cellStyle name="40% - Ênfase6 5 3 2" xfId="2793" xr:uid="{00000000-0005-0000-0000-0000E60A0000}"/>
    <cellStyle name="40% - Ênfase6 5 4" xfId="2794" xr:uid="{00000000-0005-0000-0000-0000E70A0000}"/>
    <cellStyle name="40% - Ênfase6 50" xfId="2795" xr:uid="{00000000-0005-0000-0000-0000E80A0000}"/>
    <cellStyle name="40% - Ênfase6 51" xfId="2796" xr:uid="{00000000-0005-0000-0000-0000E90A0000}"/>
    <cellStyle name="40% - Ênfase6 52" xfId="2797" xr:uid="{00000000-0005-0000-0000-0000EA0A0000}"/>
    <cellStyle name="40% - Ênfase6 53" xfId="2798" xr:uid="{00000000-0005-0000-0000-0000EB0A0000}"/>
    <cellStyle name="40% - Ênfase6 54" xfId="2799" xr:uid="{00000000-0005-0000-0000-0000EC0A0000}"/>
    <cellStyle name="40% - Ênfase6 55" xfId="2800" xr:uid="{00000000-0005-0000-0000-0000ED0A0000}"/>
    <cellStyle name="40% - Ênfase6 56" xfId="2801" xr:uid="{00000000-0005-0000-0000-0000EE0A0000}"/>
    <cellStyle name="40% - Ênfase6 57" xfId="2802" xr:uid="{00000000-0005-0000-0000-0000EF0A0000}"/>
    <cellStyle name="40% - Ênfase6 58" xfId="2803" xr:uid="{00000000-0005-0000-0000-0000F00A0000}"/>
    <cellStyle name="40% - Ênfase6 59" xfId="2804" xr:uid="{00000000-0005-0000-0000-0000F10A0000}"/>
    <cellStyle name="40% - Ênfase6 6" xfId="2805" xr:uid="{00000000-0005-0000-0000-0000F20A0000}"/>
    <cellStyle name="40% - Ênfase6 6 2" xfId="2806" xr:uid="{00000000-0005-0000-0000-0000F30A0000}"/>
    <cellStyle name="40% - Ênfase6 6 2 2" xfId="2807" xr:uid="{00000000-0005-0000-0000-0000F40A0000}"/>
    <cellStyle name="40% - Ênfase6 6 2_BD" xfId="2808" xr:uid="{00000000-0005-0000-0000-0000F50A0000}"/>
    <cellStyle name="40% - Ênfase6 6 3" xfId="2809" xr:uid="{00000000-0005-0000-0000-0000F60A0000}"/>
    <cellStyle name="40% - Ênfase6 6 3 2" xfId="2810" xr:uid="{00000000-0005-0000-0000-0000F70A0000}"/>
    <cellStyle name="40% - Ênfase6 6 4" xfId="2811" xr:uid="{00000000-0005-0000-0000-0000F80A0000}"/>
    <cellStyle name="40% - Ênfase6 60" xfId="2812" xr:uid="{00000000-0005-0000-0000-0000F90A0000}"/>
    <cellStyle name="40% - Ênfase6 61" xfId="2813" xr:uid="{00000000-0005-0000-0000-0000FA0A0000}"/>
    <cellStyle name="40% - Ênfase6 62" xfId="2814" xr:uid="{00000000-0005-0000-0000-0000FB0A0000}"/>
    <cellStyle name="40% - Ênfase6 63" xfId="2815" xr:uid="{00000000-0005-0000-0000-0000FC0A0000}"/>
    <cellStyle name="40% - Ênfase6 64" xfId="2816" xr:uid="{00000000-0005-0000-0000-0000FD0A0000}"/>
    <cellStyle name="40% - Ênfase6 65" xfId="2817" xr:uid="{00000000-0005-0000-0000-0000FE0A0000}"/>
    <cellStyle name="40% - Ênfase6 66" xfId="2818" xr:uid="{00000000-0005-0000-0000-0000FF0A0000}"/>
    <cellStyle name="40% - Ênfase6 67" xfId="2819" xr:uid="{00000000-0005-0000-0000-0000000B0000}"/>
    <cellStyle name="40% - Ênfase6 68" xfId="2820" xr:uid="{00000000-0005-0000-0000-0000010B0000}"/>
    <cellStyle name="40% - Ênfase6 69" xfId="2821" xr:uid="{00000000-0005-0000-0000-0000020B0000}"/>
    <cellStyle name="40% - Ênfase6 7" xfId="2822" xr:uid="{00000000-0005-0000-0000-0000030B0000}"/>
    <cellStyle name="40% - Ênfase6 7 2" xfId="2823" xr:uid="{00000000-0005-0000-0000-0000040B0000}"/>
    <cellStyle name="40% - Ênfase6 7 2 2" xfId="2824" xr:uid="{00000000-0005-0000-0000-0000050B0000}"/>
    <cellStyle name="40% - Ênfase6 7 2_BD" xfId="2825" xr:uid="{00000000-0005-0000-0000-0000060B0000}"/>
    <cellStyle name="40% - Ênfase6 7 3" xfId="2826" xr:uid="{00000000-0005-0000-0000-0000070B0000}"/>
    <cellStyle name="40% - Ênfase6 7 3 2" xfId="2827" xr:uid="{00000000-0005-0000-0000-0000080B0000}"/>
    <cellStyle name="40% - Ênfase6 7 4" xfId="2828" xr:uid="{00000000-0005-0000-0000-0000090B0000}"/>
    <cellStyle name="40% - Ênfase6 70" xfId="2829" xr:uid="{00000000-0005-0000-0000-00000A0B0000}"/>
    <cellStyle name="40% - Ênfase6 71" xfId="2830" xr:uid="{00000000-0005-0000-0000-00000B0B0000}"/>
    <cellStyle name="40% - Ênfase6 72" xfId="2831" xr:uid="{00000000-0005-0000-0000-00000C0B0000}"/>
    <cellStyle name="40% - Ênfase6 73" xfId="2832" xr:uid="{00000000-0005-0000-0000-00000D0B0000}"/>
    <cellStyle name="40% - Ênfase6 74" xfId="2833" xr:uid="{00000000-0005-0000-0000-00000E0B0000}"/>
    <cellStyle name="40% - Ênfase6 75" xfId="2834" xr:uid="{00000000-0005-0000-0000-00000F0B0000}"/>
    <cellStyle name="40% - Ênfase6 76" xfId="2835" xr:uid="{00000000-0005-0000-0000-0000100B0000}"/>
    <cellStyle name="40% - Ênfase6 77" xfId="2836" xr:uid="{00000000-0005-0000-0000-0000110B0000}"/>
    <cellStyle name="40% - Ênfase6 78" xfId="2837" xr:uid="{00000000-0005-0000-0000-0000120B0000}"/>
    <cellStyle name="40% - Ênfase6 79" xfId="2838" xr:uid="{00000000-0005-0000-0000-0000130B0000}"/>
    <cellStyle name="40% - Ênfase6 8" xfId="2839" xr:uid="{00000000-0005-0000-0000-0000140B0000}"/>
    <cellStyle name="40% - Ênfase6 8 2" xfId="2840" xr:uid="{00000000-0005-0000-0000-0000150B0000}"/>
    <cellStyle name="40% - Ênfase6 8 2 2" xfId="2841" xr:uid="{00000000-0005-0000-0000-0000160B0000}"/>
    <cellStyle name="40% - Ênfase6 8 3" xfId="2842" xr:uid="{00000000-0005-0000-0000-0000170B0000}"/>
    <cellStyle name="40% - Ênfase6 8 3 2" xfId="2843" xr:uid="{00000000-0005-0000-0000-0000180B0000}"/>
    <cellStyle name="40% - Ênfase6 8 4" xfId="2844" xr:uid="{00000000-0005-0000-0000-0000190B0000}"/>
    <cellStyle name="40% - Ênfase6 80" xfId="2845" xr:uid="{00000000-0005-0000-0000-00001A0B0000}"/>
    <cellStyle name="40% - Ênfase6 81" xfId="2846" xr:uid="{00000000-0005-0000-0000-00001B0B0000}"/>
    <cellStyle name="40% - Ênfase6 82" xfId="2847" xr:uid="{00000000-0005-0000-0000-00001C0B0000}"/>
    <cellStyle name="40% - Ênfase6 83" xfId="2848" xr:uid="{00000000-0005-0000-0000-00001D0B0000}"/>
    <cellStyle name="40% - Ênfase6 84" xfId="2849" xr:uid="{00000000-0005-0000-0000-00001E0B0000}"/>
    <cellStyle name="40% - Ênfase6 85" xfId="2850" xr:uid="{00000000-0005-0000-0000-00001F0B0000}"/>
    <cellStyle name="40% - Ênfase6 86" xfId="2851" xr:uid="{00000000-0005-0000-0000-0000200B0000}"/>
    <cellStyle name="40% - Ênfase6 87" xfId="2852" xr:uid="{00000000-0005-0000-0000-0000210B0000}"/>
    <cellStyle name="40% - Ênfase6 88" xfId="2853" xr:uid="{00000000-0005-0000-0000-0000220B0000}"/>
    <cellStyle name="40% - Ênfase6 89" xfId="2854" xr:uid="{00000000-0005-0000-0000-0000230B0000}"/>
    <cellStyle name="40% - Ênfase6 9" xfId="2855" xr:uid="{00000000-0005-0000-0000-0000240B0000}"/>
    <cellStyle name="40% - Ênfase6 9 2" xfId="2856" xr:uid="{00000000-0005-0000-0000-0000250B0000}"/>
    <cellStyle name="40% - Ênfase6 9 2 2" xfId="2857" xr:uid="{00000000-0005-0000-0000-0000260B0000}"/>
    <cellStyle name="40% - Ênfase6 9 3" xfId="2858" xr:uid="{00000000-0005-0000-0000-0000270B0000}"/>
    <cellStyle name="40% - Ênfase6 9 3 2" xfId="2859" xr:uid="{00000000-0005-0000-0000-0000280B0000}"/>
    <cellStyle name="40% - Ênfase6 9 4" xfId="2860" xr:uid="{00000000-0005-0000-0000-0000290B0000}"/>
    <cellStyle name="40% - Ênfase6 90" xfId="2861" xr:uid="{00000000-0005-0000-0000-00002A0B0000}"/>
    <cellStyle name="40% - Ênfase6 91" xfId="2862" xr:uid="{00000000-0005-0000-0000-00002B0B0000}"/>
    <cellStyle name="40% - Ênfase6 92" xfId="2863" xr:uid="{00000000-0005-0000-0000-00002C0B0000}"/>
    <cellStyle name="40% - Ênfase6 93" xfId="2864" xr:uid="{00000000-0005-0000-0000-00002D0B0000}"/>
    <cellStyle name="40% - Ênfase6 94" xfId="2865" xr:uid="{00000000-0005-0000-0000-00002E0B0000}"/>
    <cellStyle name="40% - Ênfase6 95" xfId="2866" xr:uid="{00000000-0005-0000-0000-00002F0B0000}"/>
    <cellStyle name="40% - Ênfase6 96" xfId="2867" xr:uid="{00000000-0005-0000-0000-0000300B0000}"/>
    <cellStyle name="40% - Ênfase6 97" xfId="2868" xr:uid="{00000000-0005-0000-0000-0000310B0000}"/>
    <cellStyle name="40% - Ênfase6 98" xfId="2869" xr:uid="{00000000-0005-0000-0000-0000320B0000}"/>
    <cellStyle name="40% - Ênfase6 99" xfId="2870" xr:uid="{00000000-0005-0000-0000-0000330B0000}"/>
    <cellStyle name="60% - Ênfase1 10" xfId="2871" xr:uid="{00000000-0005-0000-0000-0000340B0000}"/>
    <cellStyle name="60% - Ênfase1 100" xfId="2872" xr:uid="{00000000-0005-0000-0000-0000350B0000}"/>
    <cellStyle name="60% - Ênfase1 101" xfId="2873" xr:uid="{00000000-0005-0000-0000-0000360B0000}"/>
    <cellStyle name="60% - Ênfase1 102" xfId="2874" xr:uid="{00000000-0005-0000-0000-0000370B0000}"/>
    <cellStyle name="60% - Ênfase1 103" xfId="2875" xr:uid="{00000000-0005-0000-0000-0000380B0000}"/>
    <cellStyle name="60% - Ênfase1 104" xfId="2876" xr:uid="{00000000-0005-0000-0000-0000390B0000}"/>
    <cellStyle name="60% - Ênfase1 105" xfId="2877" xr:uid="{00000000-0005-0000-0000-00003A0B0000}"/>
    <cellStyle name="60% - Ênfase1 106" xfId="2878" xr:uid="{00000000-0005-0000-0000-00003B0B0000}"/>
    <cellStyle name="60% - Ênfase1 107" xfId="2879" xr:uid="{00000000-0005-0000-0000-00003C0B0000}"/>
    <cellStyle name="60% - Ênfase1 108" xfId="2880" xr:uid="{00000000-0005-0000-0000-00003D0B0000}"/>
    <cellStyle name="60% - Ênfase1 109" xfId="2881" xr:uid="{00000000-0005-0000-0000-00003E0B0000}"/>
    <cellStyle name="60% - Ênfase1 11" xfId="2882" xr:uid="{00000000-0005-0000-0000-00003F0B0000}"/>
    <cellStyle name="60% - Ênfase1 110" xfId="2883" xr:uid="{00000000-0005-0000-0000-0000400B0000}"/>
    <cellStyle name="60% - Ênfase1 111" xfId="2884" xr:uid="{00000000-0005-0000-0000-0000410B0000}"/>
    <cellStyle name="60% - Ênfase1 112" xfId="2885" xr:uid="{00000000-0005-0000-0000-0000420B0000}"/>
    <cellStyle name="60% - Ênfase1 113" xfId="2886" xr:uid="{00000000-0005-0000-0000-0000430B0000}"/>
    <cellStyle name="60% - Ênfase1 114" xfId="2887" xr:uid="{00000000-0005-0000-0000-0000440B0000}"/>
    <cellStyle name="60% - Ênfase1 115" xfId="2888" xr:uid="{00000000-0005-0000-0000-0000450B0000}"/>
    <cellStyle name="60% - Ênfase1 116" xfId="2889" xr:uid="{00000000-0005-0000-0000-0000460B0000}"/>
    <cellStyle name="60% - Ênfase1 117" xfId="2890" xr:uid="{00000000-0005-0000-0000-0000470B0000}"/>
    <cellStyle name="60% - Ênfase1 118" xfId="2891" xr:uid="{00000000-0005-0000-0000-0000480B0000}"/>
    <cellStyle name="60% - Ênfase1 119" xfId="2892" xr:uid="{00000000-0005-0000-0000-0000490B0000}"/>
    <cellStyle name="60% - Ênfase1 12" xfId="2893" xr:uid="{00000000-0005-0000-0000-00004A0B0000}"/>
    <cellStyle name="60% - Ênfase1 120" xfId="2894" xr:uid="{00000000-0005-0000-0000-00004B0B0000}"/>
    <cellStyle name="60% - Ênfase1 13" xfId="2895" xr:uid="{00000000-0005-0000-0000-00004C0B0000}"/>
    <cellStyle name="60% - Ênfase1 14" xfId="2896" xr:uid="{00000000-0005-0000-0000-00004D0B0000}"/>
    <cellStyle name="60% - Ênfase1 15" xfId="2897" xr:uid="{00000000-0005-0000-0000-00004E0B0000}"/>
    <cellStyle name="60% - Ênfase1 16" xfId="2898" xr:uid="{00000000-0005-0000-0000-00004F0B0000}"/>
    <cellStyle name="60% - Ênfase1 17" xfId="2899" xr:uid="{00000000-0005-0000-0000-0000500B0000}"/>
    <cellStyle name="60% - Ênfase1 18" xfId="2900" xr:uid="{00000000-0005-0000-0000-0000510B0000}"/>
    <cellStyle name="60% - Ênfase1 19" xfId="2901" xr:uid="{00000000-0005-0000-0000-0000520B0000}"/>
    <cellStyle name="60% - Ênfase1 2" xfId="2902" xr:uid="{00000000-0005-0000-0000-0000530B0000}"/>
    <cellStyle name="60% - Ênfase1 2 2" xfId="2903" xr:uid="{00000000-0005-0000-0000-0000540B0000}"/>
    <cellStyle name="60% - Ênfase1 2 2 2" xfId="2904" xr:uid="{00000000-0005-0000-0000-0000550B0000}"/>
    <cellStyle name="60% - Ênfase1 2 2 2 2" xfId="2905" xr:uid="{00000000-0005-0000-0000-0000560B0000}"/>
    <cellStyle name="60% - Ênfase1 2 2 2 2 2" xfId="2906" xr:uid="{00000000-0005-0000-0000-0000570B0000}"/>
    <cellStyle name="60% - Ênfase1 2 2 2 2 2 2" xfId="2907" xr:uid="{00000000-0005-0000-0000-0000580B0000}"/>
    <cellStyle name="60% - Ênfase1 2 2 2 2 2 2 2" xfId="2908" xr:uid="{00000000-0005-0000-0000-0000590B0000}"/>
    <cellStyle name="60% - Ênfase1 2 2 2 2 2 3" xfId="2909" xr:uid="{00000000-0005-0000-0000-00005A0B0000}"/>
    <cellStyle name="60% - Ênfase1 2 2 2 2 3" xfId="2910" xr:uid="{00000000-0005-0000-0000-00005B0B0000}"/>
    <cellStyle name="60% - Ênfase1 2 2 2 2 3 2" xfId="2911" xr:uid="{00000000-0005-0000-0000-00005C0B0000}"/>
    <cellStyle name="60% - Ênfase1 2 2 2 3" xfId="2912" xr:uid="{00000000-0005-0000-0000-00005D0B0000}"/>
    <cellStyle name="60% - Ênfase1 2 2 2 3 2" xfId="2913" xr:uid="{00000000-0005-0000-0000-00005E0B0000}"/>
    <cellStyle name="60% - Ênfase1 2 2 3" xfId="2914" xr:uid="{00000000-0005-0000-0000-00005F0B0000}"/>
    <cellStyle name="60% - Ênfase1 2 2 4" xfId="2915" xr:uid="{00000000-0005-0000-0000-0000600B0000}"/>
    <cellStyle name="60% - Ênfase1 2 2 5" xfId="2916" xr:uid="{00000000-0005-0000-0000-0000610B0000}"/>
    <cellStyle name="60% - Ênfase1 2 2 5 2" xfId="2917" xr:uid="{00000000-0005-0000-0000-0000620B0000}"/>
    <cellStyle name="60% - Ênfase1 2 2_BD" xfId="2918" xr:uid="{00000000-0005-0000-0000-0000630B0000}"/>
    <cellStyle name="60% - Ênfase1 2 3" xfId="2919" xr:uid="{00000000-0005-0000-0000-0000640B0000}"/>
    <cellStyle name="60% - Ênfase1 2 4" xfId="2920" xr:uid="{00000000-0005-0000-0000-0000650B0000}"/>
    <cellStyle name="60% - Ênfase1 2 5" xfId="2921" xr:uid="{00000000-0005-0000-0000-0000660B0000}"/>
    <cellStyle name="60% - Ênfase1 2 6" xfId="2922" xr:uid="{00000000-0005-0000-0000-0000670B0000}"/>
    <cellStyle name="60% - Ênfase1 2 6 2" xfId="2923" xr:uid="{00000000-0005-0000-0000-0000680B0000}"/>
    <cellStyle name="60% - Ênfase1 2_BD" xfId="2924" xr:uid="{00000000-0005-0000-0000-0000690B0000}"/>
    <cellStyle name="60% - Ênfase1 20" xfId="2925" xr:uid="{00000000-0005-0000-0000-00006A0B0000}"/>
    <cellStyle name="60% - Ênfase1 21" xfId="2926" xr:uid="{00000000-0005-0000-0000-00006B0B0000}"/>
    <cellStyle name="60% - Ênfase1 22" xfId="2927" xr:uid="{00000000-0005-0000-0000-00006C0B0000}"/>
    <cellStyle name="60% - Ênfase1 23" xfId="2928" xr:uid="{00000000-0005-0000-0000-00006D0B0000}"/>
    <cellStyle name="60% - Ênfase1 24" xfId="2929" xr:uid="{00000000-0005-0000-0000-00006E0B0000}"/>
    <cellStyle name="60% - Ênfase1 25" xfId="2930" xr:uid="{00000000-0005-0000-0000-00006F0B0000}"/>
    <cellStyle name="60% - Ênfase1 26" xfId="2931" xr:uid="{00000000-0005-0000-0000-0000700B0000}"/>
    <cellStyle name="60% - Ênfase1 27" xfId="2932" xr:uid="{00000000-0005-0000-0000-0000710B0000}"/>
    <cellStyle name="60% - Ênfase1 28" xfId="2933" xr:uid="{00000000-0005-0000-0000-0000720B0000}"/>
    <cellStyle name="60% - Ênfase1 29" xfId="2934" xr:uid="{00000000-0005-0000-0000-0000730B0000}"/>
    <cellStyle name="60% - Ênfase1 3" xfId="2935" xr:uid="{00000000-0005-0000-0000-0000740B0000}"/>
    <cellStyle name="60% - Ênfase1 3 2" xfId="2936" xr:uid="{00000000-0005-0000-0000-0000750B0000}"/>
    <cellStyle name="60% - Ênfase1 30" xfId="2937" xr:uid="{00000000-0005-0000-0000-0000760B0000}"/>
    <cellStyle name="60% - Ênfase1 31" xfId="2938" xr:uid="{00000000-0005-0000-0000-0000770B0000}"/>
    <cellStyle name="60% - Ênfase1 32" xfId="2939" xr:uid="{00000000-0005-0000-0000-0000780B0000}"/>
    <cellStyle name="60% - Ênfase1 33" xfId="2940" xr:uid="{00000000-0005-0000-0000-0000790B0000}"/>
    <cellStyle name="60% - Ênfase1 34" xfId="2941" xr:uid="{00000000-0005-0000-0000-00007A0B0000}"/>
    <cellStyle name="60% - Ênfase1 35" xfId="2942" xr:uid="{00000000-0005-0000-0000-00007B0B0000}"/>
    <cellStyle name="60% - Ênfase1 36" xfId="2943" xr:uid="{00000000-0005-0000-0000-00007C0B0000}"/>
    <cellStyle name="60% - Ênfase1 37" xfId="2944" xr:uid="{00000000-0005-0000-0000-00007D0B0000}"/>
    <cellStyle name="60% - Ênfase1 38" xfId="2945" xr:uid="{00000000-0005-0000-0000-00007E0B0000}"/>
    <cellStyle name="60% - Ênfase1 39" xfId="2946" xr:uid="{00000000-0005-0000-0000-00007F0B0000}"/>
    <cellStyle name="60% - Ênfase1 4" xfId="2947" xr:uid="{00000000-0005-0000-0000-0000800B0000}"/>
    <cellStyle name="60% - Ênfase1 40" xfId="2948" xr:uid="{00000000-0005-0000-0000-0000810B0000}"/>
    <cellStyle name="60% - Ênfase1 41" xfId="2949" xr:uid="{00000000-0005-0000-0000-0000820B0000}"/>
    <cellStyle name="60% - Ênfase1 42" xfId="2950" xr:uid="{00000000-0005-0000-0000-0000830B0000}"/>
    <cellStyle name="60% - Ênfase1 43" xfId="2951" xr:uid="{00000000-0005-0000-0000-0000840B0000}"/>
    <cellStyle name="60% - Ênfase1 44" xfId="2952" xr:uid="{00000000-0005-0000-0000-0000850B0000}"/>
    <cellStyle name="60% - Ênfase1 45" xfId="2953" xr:uid="{00000000-0005-0000-0000-0000860B0000}"/>
    <cellStyle name="60% - Ênfase1 46" xfId="2954" xr:uid="{00000000-0005-0000-0000-0000870B0000}"/>
    <cellStyle name="60% - Ênfase1 47" xfId="2955" xr:uid="{00000000-0005-0000-0000-0000880B0000}"/>
    <cellStyle name="60% - Ênfase1 48" xfId="2956" xr:uid="{00000000-0005-0000-0000-0000890B0000}"/>
    <cellStyle name="60% - Ênfase1 49" xfId="2957" xr:uid="{00000000-0005-0000-0000-00008A0B0000}"/>
    <cellStyle name="60% - Ênfase1 5" xfId="2958" xr:uid="{00000000-0005-0000-0000-00008B0B0000}"/>
    <cellStyle name="60% - Ênfase1 50" xfId="2959" xr:uid="{00000000-0005-0000-0000-00008C0B0000}"/>
    <cellStyle name="60% - Ênfase1 51" xfId="2960" xr:uid="{00000000-0005-0000-0000-00008D0B0000}"/>
    <cellStyle name="60% - Ênfase1 52" xfId="2961" xr:uid="{00000000-0005-0000-0000-00008E0B0000}"/>
    <cellStyle name="60% - Ênfase1 53" xfId="2962" xr:uid="{00000000-0005-0000-0000-00008F0B0000}"/>
    <cellStyle name="60% - Ênfase1 54" xfId="2963" xr:uid="{00000000-0005-0000-0000-0000900B0000}"/>
    <cellStyle name="60% - Ênfase1 55" xfId="2964" xr:uid="{00000000-0005-0000-0000-0000910B0000}"/>
    <cellStyle name="60% - Ênfase1 56" xfId="2965" xr:uid="{00000000-0005-0000-0000-0000920B0000}"/>
    <cellStyle name="60% - Ênfase1 57" xfId="2966" xr:uid="{00000000-0005-0000-0000-0000930B0000}"/>
    <cellStyle name="60% - Ênfase1 58" xfId="2967" xr:uid="{00000000-0005-0000-0000-0000940B0000}"/>
    <cellStyle name="60% - Ênfase1 59" xfId="2968" xr:uid="{00000000-0005-0000-0000-0000950B0000}"/>
    <cellStyle name="60% - Ênfase1 6" xfId="2969" xr:uid="{00000000-0005-0000-0000-0000960B0000}"/>
    <cellStyle name="60% - Ênfase1 60" xfId="2970" xr:uid="{00000000-0005-0000-0000-0000970B0000}"/>
    <cellStyle name="60% - Ênfase1 61" xfId="2971" xr:uid="{00000000-0005-0000-0000-0000980B0000}"/>
    <cellStyle name="60% - Ênfase1 62" xfId="2972" xr:uid="{00000000-0005-0000-0000-0000990B0000}"/>
    <cellStyle name="60% - Ênfase1 63" xfId="2973" xr:uid="{00000000-0005-0000-0000-00009A0B0000}"/>
    <cellStyle name="60% - Ênfase1 64" xfId="2974" xr:uid="{00000000-0005-0000-0000-00009B0B0000}"/>
    <cellStyle name="60% - Ênfase1 65" xfId="2975" xr:uid="{00000000-0005-0000-0000-00009C0B0000}"/>
    <cellStyle name="60% - Ênfase1 66" xfId="2976" xr:uid="{00000000-0005-0000-0000-00009D0B0000}"/>
    <cellStyle name="60% - Ênfase1 67" xfId="2977" xr:uid="{00000000-0005-0000-0000-00009E0B0000}"/>
    <cellStyle name="60% - Ênfase1 68" xfId="2978" xr:uid="{00000000-0005-0000-0000-00009F0B0000}"/>
    <cellStyle name="60% - Ênfase1 69" xfId="2979" xr:uid="{00000000-0005-0000-0000-0000A00B0000}"/>
    <cellStyle name="60% - Ênfase1 7" xfId="2980" xr:uid="{00000000-0005-0000-0000-0000A10B0000}"/>
    <cellStyle name="60% - Ênfase1 70" xfId="2981" xr:uid="{00000000-0005-0000-0000-0000A20B0000}"/>
    <cellStyle name="60% - Ênfase1 71" xfId="2982" xr:uid="{00000000-0005-0000-0000-0000A30B0000}"/>
    <cellStyle name="60% - Ênfase1 72" xfId="2983" xr:uid="{00000000-0005-0000-0000-0000A40B0000}"/>
    <cellStyle name="60% - Ênfase1 73" xfId="2984" xr:uid="{00000000-0005-0000-0000-0000A50B0000}"/>
    <cellStyle name="60% - Ênfase1 74" xfId="2985" xr:uid="{00000000-0005-0000-0000-0000A60B0000}"/>
    <cellStyle name="60% - Ênfase1 75" xfId="2986" xr:uid="{00000000-0005-0000-0000-0000A70B0000}"/>
    <cellStyle name="60% - Ênfase1 76" xfId="2987" xr:uid="{00000000-0005-0000-0000-0000A80B0000}"/>
    <cellStyle name="60% - Ênfase1 77" xfId="2988" xr:uid="{00000000-0005-0000-0000-0000A90B0000}"/>
    <cellStyle name="60% - Ênfase1 78" xfId="2989" xr:uid="{00000000-0005-0000-0000-0000AA0B0000}"/>
    <cellStyle name="60% - Ênfase1 79" xfId="2990" xr:uid="{00000000-0005-0000-0000-0000AB0B0000}"/>
    <cellStyle name="60% - Ênfase1 8" xfId="2991" xr:uid="{00000000-0005-0000-0000-0000AC0B0000}"/>
    <cellStyle name="60% - Ênfase1 80" xfId="2992" xr:uid="{00000000-0005-0000-0000-0000AD0B0000}"/>
    <cellStyle name="60% - Ênfase1 81" xfId="2993" xr:uid="{00000000-0005-0000-0000-0000AE0B0000}"/>
    <cellStyle name="60% - Ênfase1 82" xfId="2994" xr:uid="{00000000-0005-0000-0000-0000AF0B0000}"/>
    <cellStyle name="60% - Ênfase1 83" xfId="2995" xr:uid="{00000000-0005-0000-0000-0000B00B0000}"/>
    <cellStyle name="60% - Ênfase1 84" xfId="2996" xr:uid="{00000000-0005-0000-0000-0000B10B0000}"/>
    <cellStyle name="60% - Ênfase1 85" xfId="2997" xr:uid="{00000000-0005-0000-0000-0000B20B0000}"/>
    <cellStyle name="60% - Ênfase1 86" xfId="2998" xr:uid="{00000000-0005-0000-0000-0000B30B0000}"/>
    <cellStyle name="60% - Ênfase1 87" xfId="2999" xr:uid="{00000000-0005-0000-0000-0000B40B0000}"/>
    <cellStyle name="60% - Ênfase1 88" xfId="3000" xr:uid="{00000000-0005-0000-0000-0000B50B0000}"/>
    <cellStyle name="60% - Ênfase1 89" xfId="3001" xr:uid="{00000000-0005-0000-0000-0000B60B0000}"/>
    <cellStyle name="60% - Ênfase1 9" xfId="3002" xr:uid="{00000000-0005-0000-0000-0000B70B0000}"/>
    <cellStyle name="60% - Ênfase1 90" xfId="3003" xr:uid="{00000000-0005-0000-0000-0000B80B0000}"/>
    <cellStyle name="60% - Ênfase1 91" xfId="3004" xr:uid="{00000000-0005-0000-0000-0000B90B0000}"/>
    <cellStyle name="60% - Ênfase1 92" xfId="3005" xr:uid="{00000000-0005-0000-0000-0000BA0B0000}"/>
    <cellStyle name="60% - Ênfase1 93" xfId="3006" xr:uid="{00000000-0005-0000-0000-0000BB0B0000}"/>
    <cellStyle name="60% - Ênfase1 94" xfId="3007" xr:uid="{00000000-0005-0000-0000-0000BC0B0000}"/>
    <cellStyle name="60% - Ênfase1 95" xfId="3008" xr:uid="{00000000-0005-0000-0000-0000BD0B0000}"/>
    <cellStyle name="60% - Ênfase1 96" xfId="3009" xr:uid="{00000000-0005-0000-0000-0000BE0B0000}"/>
    <cellStyle name="60% - Ênfase1 97" xfId="3010" xr:uid="{00000000-0005-0000-0000-0000BF0B0000}"/>
    <cellStyle name="60% - Ênfase1 98" xfId="3011" xr:uid="{00000000-0005-0000-0000-0000C00B0000}"/>
    <cellStyle name="60% - Ênfase1 99" xfId="3012" xr:uid="{00000000-0005-0000-0000-0000C10B0000}"/>
    <cellStyle name="60% - Ênfase2 10" xfId="3013" xr:uid="{00000000-0005-0000-0000-0000C20B0000}"/>
    <cellStyle name="60% - Ênfase2 100" xfId="3014" xr:uid="{00000000-0005-0000-0000-0000C30B0000}"/>
    <cellStyle name="60% - Ênfase2 101" xfId="3015" xr:uid="{00000000-0005-0000-0000-0000C40B0000}"/>
    <cellStyle name="60% - Ênfase2 102" xfId="3016" xr:uid="{00000000-0005-0000-0000-0000C50B0000}"/>
    <cellStyle name="60% - Ênfase2 103" xfId="3017" xr:uid="{00000000-0005-0000-0000-0000C60B0000}"/>
    <cellStyle name="60% - Ênfase2 104" xfId="3018" xr:uid="{00000000-0005-0000-0000-0000C70B0000}"/>
    <cellStyle name="60% - Ênfase2 105" xfId="3019" xr:uid="{00000000-0005-0000-0000-0000C80B0000}"/>
    <cellStyle name="60% - Ênfase2 106" xfId="3020" xr:uid="{00000000-0005-0000-0000-0000C90B0000}"/>
    <cellStyle name="60% - Ênfase2 107" xfId="3021" xr:uid="{00000000-0005-0000-0000-0000CA0B0000}"/>
    <cellStyle name="60% - Ênfase2 108" xfId="3022" xr:uid="{00000000-0005-0000-0000-0000CB0B0000}"/>
    <cellStyle name="60% - Ênfase2 109" xfId="3023" xr:uid="{00000000-0005-0000-0000-0000CC0B0000}"/>
    <cellStyle name="60% - Ênfase2 11" xfId="3024" xr:uid="{00000000-0005-0000-0000-0000CD0B0000}"/>
    <cellStyle name="60% - Ênfase2 110" xfId="3025" xr:uid="{00000000-0005-0000-0000-0000CE0B0000}"/>
    <cellStyle name="60% - Ênfase2 111" xfId="3026" xr:uid="{00000000-0005-0000-0000-0000CF0B0000}"/>
    <cellStyle name="60% - Ênfase2 112" xfId="3027" xr:uid="{00000000-0005-0000-0000-0000D00B0000}"/>
    <cellStyle name="60% - Ênfase2 113" xfId="3028" xr:uid="{00000000-0005-0000-0000-0000D10B0000}"/>
    <cellStyle name="60% - Ênfase2 114" xfId="3029" xr:uid="{00000000-0005-0000-0000-0000D20B0000}"/>
    <cellStyle name="60% - Ênfase2 115" xfId="3030" xr:uid="{00000000-0005-0000-0000-0000D30B0000}"/>
    <cellStyle name="60% - Ênfase2 116" xfId="3031" xr:uid="{00000000-0005-0000-0000-0000D40B0000}"/>
    <cellStyle name="60% - Ênfase2 117" xfId="3032" xr:uid="{00000000-0005-0000-0000-0000D50B0000}"/>
    <cellStyle name="60% - Ênfase2 118" xfId="3033" xr:uid="{00000000-0005-0000-0000-0000D60B0000}"/>
    <cellStyle name="60% - Ênfase2 119" xfId="3034" xr:uid="{00000000-0005-0000-0000-0000D70B0000}"/>
    <cellStyle name="60% - Ênfase2 12" xfId="3035" xr:uid="{00000000-0005-0000-0000-0000D80B0000}"/>
    <cellStyle name="60% - Ênfase2 120" xfId="3036" xr:uid="{00000000-0005-0000-0000-0000D90B0000}"/>
    <cellStyle name="60% - Ênfase2 13" xfId="3037" xr:uid="{00000000-0005-0000-0000-0000DA0B0000}"/>
    <cellStyle name="60% - Ênfase2 14" xfId="3038" xr:uid="{00000000-0005-0000-0000-0000DB0B0000}"/>
    <cellStyle name="60% - Ênfase2 15" xfId="3039" xr:uid="{00000000-0005-0000-0000-0000DC0B0000}"/>
    <cellStyle name="60% - Ênfase2 16" xfId="3040" xr:uid="{00000000-0005-0000-0000-0000DD0B0000}"/>
    <cellStyle name="60% - Ênfase2 17" xfId="3041" xr:uid="{00000000-0005-0000-0000-0000DE0B0000}"/>
    <cellStyle name="60% - Ênfase2 18" xfId="3042" xr:uid="{00000000-0005-0000-0000-0000DF0B0000}"/>
    <cellStyle name="60% - Ênfase2 19" xfId="3043" xr:uid="{00000000-0005-0000-0000-0000E00B0000}"/>
    <cellStyle name="60% - Ênfase2 2" xfId="3044" xr:uid="{00000000-0005-0000-0000-0000E10B0000}"/>
    <cellStyle name="60% - Ênfase2 2 2" xfId="3045" xr:uid="{00000000-0005-0000-0000-0000E20B0000}"/>
    <cellStyle name="60% - Ênfase2 2 2 2" xfId="3046" xr:uid="{00000000-0005-0000-0000-0000E30B0000}"/>
    <cellStyle name="60% - Ênfase2 2 2 2 2" xfId="3047" xr:uid="{00000000-0005-0000-0000-0000E40B0000}"/>
    <cellStyle name="60% - Ênfase2 2 2 2 2 2" xfId="3048" xr:uid="{00000000-0005-0000-0000-0000E50B0000}"/>
    <cellStyle name="60% - Ênfase2 2 2 2 2 2 2" xfId="3049" xr:uid="{00000000-0005-0000-0000-0000E60B0000}"/>
    <cellStyle name="60% - Ênfase2 2 2 2 2 2 2 2" xfId="3050" xr:uid="{00000000-0005-0000-0000-0000E70B0000}"/>
    <cellStyle name="60% - Ênfase2 2 2 2 2 2 3" xfId="3051" xr:uid="{00000000-0005-0000-0000-0000E80B0000}"/>
    <cellStyle name="60% - Ênfase2 2 2 2 2 3" xfId="3052" xr:uid="{00000000-0005-0000-0000-0000E90B0000}"/>
    <cellStyle name="60% - Ênfase2 2 2 2 2 3 2" xfId="3053" xr:uid="{00000000-0005-0000-0000-0000EA0B0000}"/>
    <cellStyle name="60% - Ênfase2 2 2 2 3" xfId="3054" xr:uid="{00000000-0005-0000-0000-0000EB0B0000}"/>
    <cellStyle name="60% - Ênfase2 2 2 2 3 2" xfId="3055" xr:uid="{00000000-0005-0000-0000-0000EC0B0000}"/>
    <cellStyle name="60% - Ênfase2 2 2 3" xfId="3056" xr:uid="{00000000-0005-0000-0000-0000ED0B0000}"/>
    <cellStyle name="60% - Ênfase2 2 2 4" xfId="3057" xr:uid="{00000000-0005-0000-0000-0000EE0B0000}"/>
    <cellStyle name="60% - Ênfase2 2 2 5" xfId="3058" xr:uid="{00000000-0005-0000-0000-0000EF0B0000}"/>
    <cellStyle name="60% - Ênfase2 2 2 5 2" xfId="3059" xr:uid="{00000000-0005-0000-0000-0000F00B0000}"/>
    <cellStyle name="60% - Ênfase2 2 2_BD" xfId="3060" xr:uid="{00000000-0005-0000-0000-0000F10B0000}"/>
    <cellStyle name="60% - Ênfase2 2 3" xfId="3061" xr:uid="{00000000-0005-0000-0000-0000F20B0000}"/>
    <cellStyle name="60% - Ênfase2 2 4" xfId="3062" xr:uid="{00000000-0005-0000-0000-0000F30B0000}"/>
    <cellStyle name="60% - Ênfase2 2 5" xfId="3063" xr:uid="{00000000-0005-0000-0000-0000F40B0000}"/>
    <cellStyle name="60% - Ênfase2 2 6" xfId="3064" xr:uid="{00000000-0005-0000-0000-0000F50B0000}"/>
    <cellStyle name="60% - Ênfase2 2 6 2" xfId="3065" xr:uid="{00000000-0005-0000-0000-0000F60B0000}"/>
    <cellStyle name="60% - Ênfase2 2_BD" xfId="3066" xr:uid="{00000000-0005-0000-0000-0000F70B0000}"/>
    <cellStyle name="60% - Ênfase2 20" xfId="3067" xr:uid="{00000000-0005-0000-0000-0000F80B0000}"/>
    <cellStyle name="60% - Ênfase2 21" xfId="3068" xr:uid="{00000000-0005-0000-0000-0000F90B0000}"/>
    <cellStyle name="60% - Ênfase2 22" xfId="3069" xr:uid="{00000000-0005-0000-0000-0000FA0B0000}"/>
    <cellStyle name="60% - Ênfase2 23" xfId="3070" xr:uid="{00000000-0005-0000-0000-0000FB0B0000}"/>
    <cellStyle name="60% - Ênfase2 24" xfId="3071" xr:uid="{00000000-0005-0000-0000-0000FC0B0000}"/>
    <cellStyle name="60% - Ênfase2 25" xfId="3072" xr:uid="{00000000-0005-0000-0000-0000FD0B0000}"/>
    <cellStyle name="60% - Ênfase2 26" xfId="3073" xr:uid="{00000000-0005-0000-0000-0000FE0B0000}"/>
    <cellStyle name="60% - Ênfase2 27" xfId="3074" xr:uid="{00000000-0005-0000-0000-0000FF0B0000}"/>
    <cellStyle name="60% - Ênfase2 28" xfId="3075" xr:uid="{00000000-0005-0000-0000-0000000C0000}"/>
    <cellStyle name="60% - Ênfase2 29" xfId="3076" xr:uid="{00000000-0005-0000-0000-0000010C0000}"/>
    <cellStyle name="60% - Ênfase2 3" xfId="3077" xr:uid="{00000000-0005-0000-0000-0000020C0000}"/>
    <cellStyle name="60% - Ênfase2 3 2" xfId="3078" xr:uid="{00000000-0005-0000-0000-0000030C0000}"/>
    <cellStyle name="60% - Ênfase2 30" xfId="3079" xr:uid="{00000000-0005-0000-0000-0000040C0000}"/>
    <cellStyle name="60% - Ênfase2 31" xfId="3080" xr:uid="{00000000-0005-0000-0000-0000050C0000}"/>
    <cellStyle name="60% - Ênfase2 32" xfId="3081" xr:uid="{00000000-0005-0000-0000-0000060C0000}"/>
    <cellStyle name="60% - Ênfase2 33" xfId="3082" xr:uid="{00000000-0005-0000-0000-0000070C0000}"/>
    <cellStyle name="60% - Ênfase2 34" xfId="3083" xr:uid="{00000000-0005-0000-0000-0000080C0000}"/>
    <cellStyle name="60% - Ênfase2 35" xfId="3084" xr:uid="{00000000-0005-0000-0000-0000090C0000}"/>
    <cellStyle name="60% - Ênfase2 36" xfId="3085" xr:uid="{00000000-0005-0000-0000-00000A0C0000}"/>
    <cellStyle name="60% - Ênfase2 37" xfId="3086" xr:uid="{00000000-0005-0000-0000-00000B0C0000}"/>
    <cellStyle name="60% - Ênfase2 38" xfId="3087" xr:uid="{00000000-0005-0000-0000-00000C0C0000}"/>
    <cellStyle name="60% - Ênfase2 39" xfId="3088" xr:uid="{00000000-0005-0000-0000-00000D0C0000}"/>
    <cellStyle name="60% - Ênfase2 4" xfId="3089" xr:uid="{00000000-0005-0000-0000-00000E0C0000}"/>
    <cellStyle name="60% - Ênfase2 40" xfId="3090" xr:uid="{00000000-0005-0000-0000-00000F0C0000}"/>
    <cellStyle name="60% - Ênfase2 41" xfId="3091" xr:uid="{00000000-0005-0000-0000-0000100C0000}"/>
    <cellStyle name="60% - Ênfase2 42" xfId="3092" xr:uid="{00000000-0005-0000-0000-0000110C0000}"/>
    <cellStyle name="60% - Ênfase2 43" xfId="3093" xr:uid="{00000000-0005-0000-0000-0000120C0000}"/>
    <cellStyle name="60% - Ênfase2 44" xfId="3094" xr:uid="{00000000-0005-0000-0000-0000130C0000}"/>
    <cellStyle name="60% - Ênfase2 45" xfId="3095" xr:uid="{00000000-0005-0000-0000-0000140C0000}"/>
    <cellStyle name="60% - Ênfase2 46" xfId="3096" xr:uid="{00000000-0005-0000-0000-0000150C0000}"/>
    <cellStyle name="60% - Ênfase2 47" xfId="3097" xr:uid="{00000000-0005-0000-0000-0000160C0000}"/>
    <cellStyle name="60% - Ênfase2 48" xfId="3098" xr:uid="{00000000-0005-0000-0000-0000170C0000}"/>
    <cellStyle name="60% - Ênfase2 49" xfId="3099" xr:uid="{00000000-0005-0000-0000-0000180C0000}"/>
    <cellStyle name="60% - Ênfase2 5" xfId="3100" xr:uid="{00000000-0005-0000-0000-0000190C0000}"/>
    <cellStyle name="60% - Ênfase2 50" xfId="3101" xr:uid="{00000000-0005-0000-0000-00001A0C0000}"/>
    <cellStyle name="60% - Ênfase2 51" xfId="3102" xr:uid="{00000000-0005-0000-0000-00001B0C0000}"/>
    <cellStyle name="60% - Ênfase2 52" xfId="3103" xr:uid="{00000000-0005-0000-0000-00001C0C0000}"/>
    <cellStyle name="60% - Ênfase2 53" xfId="3104" xr:uid="{00000000-0005-0000-0000-00001D0C0000}"/>
    <cellStyle name="60% - Ênfase2 54" xfId="3105" xr:uid="{00000000-0005-0000-0000-00001E0C0000}"/>
    <cellStyle name="60% - Ênfase2 55" xfId="3106" xr:uid="{00000000-0005-0000-0000-00001F0C0000}"/>
    <cellStyle name="60% - Ênfase2 56" xfId="3107" xr:uid="{00000000-0005-0000-0000-0000200C0000}"/>
    <cellStyle name="60% - Ênfase2 57" xfId="3108" xr:uid="{00000000-0005-0000-0000-0000210C0000}"/>
    <cellStyle name="60% - Ênfase2 58" xfId="3109" xr:uid="{00000000-0005-0000-0000-0000220C0000}"/>
    <cellStyle name="60% - Ênfase2 59" xfId="3110" xr:uid="{00000000-0005-0000-0000-0000230C0000}"/>
    <cellStyle name="60% - Ênfase2 6" xfId="3111" xr:uid="{00000000-0005-0000-0000-0000240C0000}"/>
    <cellStyle name="60% - Ênfase2 60" xfId="3112" xr:uid="{00000000-0005-0000-0000-0000250C0000}"/>
    <cellStyle name="60% - Ênfase2 61" xfId="3113" xr:uid="{00000000-0005-0000-0000-0000260C0000}"/>
    <cellStyle name="60% - Ênfase2 62" xfId="3114" xr:uid="{00000000-0005-0000-0000-0000270C0000}"/>
    <cellStyle name="60% - Ênfase2 63" xfId="3115" xr:uid="{00000000-0005-0000-0000-0000280C0000}"/>
    <cellStyle name="60% - Ênfase2 64" xfId="3116" xr:uid="{00000000-0005-0000-0000-0000290C0000}"/>
    <cellStyle name="60% - Ênfase2 65" xfId="3117" xr:uid="{00000000-0005-0000-0000-00002A0C0000}"/>
    <cellStyle name="60% - Ênfase2 66" xfId="3118" xr:uid="{00000000-0005-0000-0000-00002B0C0000}"/>
    <cellStyle name="60% - Ênfase2 67" xfId="3119" xr:uid="{00000000-0005-0000-0000-00002C0C0000}"/>
    <cellStyle name="60% - Ênfase2 68" xfId="3120" xr:uid="{00000000-0005-0000-0000-00002D0C0000}"/>
    <cellStyle name="60% - Ênfase2 69" xfId="3121" xr:uid="{00000000-0005-0000-0000-00002E0C0000}"/>
    <cellStyle name="60% - Ênfase2 7" xfId="3122" xr:uid="{00000000-0005-0000-0000-00002F0C0000}"/>
    <cellStyle name="60% - Ênfase2 70" xfId="3123" xr:uid="{00000000-0005-0000-0000-0000300C0000}"/>
    <cellStyle name="60% - Ênfase2 71" xfId="3124" xr:uid="{00000000-0005-0000-0000-0000310C0000}"/>
    <cellStyle name="60% - Ênfase2 72" xfId="3125" xr:uid="{00000000-0005-0000-0000-0000320C0000}"/>
    <cellStyle name="60% - Ênfase2 73" xfId="3126" xr:uid="{00000000-0005-0000-0000-0000330C0000}"/>
    <cellStyle name="60% - Ênfase2 74" xfId="3127" xr:uid="{00000000-0005-0000-0000-0000340C0000}"/>
    <cellStyle name="60% - Ênfase2 75" xfId="3128" xr:uid="{00000000-0005-0000-0000-0000350C0000}"/>
    <cellStyle name="60% - Ênfase2 76" xfId="3129" xr:uid="{00000000-0005-0000-0000-0000360C0000}"/>
    <cellStyle name="60% - Ênfase2 77" xfId="3130" xr:uid="{00000000-0005-0000-0000-0000370C0000}"/>
    <cellStyle name="60% - Ênfase2 78" xfId="3131" xr:uid="{00000000-0005-0000-0000-0000380C0000}"/>
    <cellStyle name="60% - Ênfase2 79" xfId="3132" xr:uid="{00000000-0005-0000-0000-0000390C0000}"/>
    <cellStyle name="60% - Ênfase2 8" xfId="3133" xr:uid="{00000000-0005-0000-0000-00003A0C0000}"/>
    <cellStyle name="60% - Ênfase2 80" xfId="3134" xr:uid="{00000000-0005-0000-0000-00003B0C0000}"/>
    <cellStyle name="60% - Ênfase2 81" xfId="3135" xr:uid="{00000000-0005-0000-0000-00003C0C0000}"/>
    <cellStyle name="60% - Ênfase2 82" xfId="3136" xr:uid="{00000000-0005-0000-0000-00003D0C0000}"/>
    <cellStyle name="60% - Ênfase2 83" xfId="3137" xr:uid="{00000000-0005-0000-0000-00003E0C0000}"/>
    <cellStyle name="60% - Ênfase2 84" xfId="3138" xr:uid="{00000000-0005-0000-0000-00003F0C0000}"/>
    <cellStyle name="60% - Ênfase2 85" xfId="3139" xr:uid="{00000000-0005-0000-0000-0000400C0000}"/>
    <cellStyle name="60% - Ênfase2 86" xfId="3140" xr:uid="{00000000-0005-0000-0000-0000410C0000}"/>
    <cellStyle name="60% - Ênfase2 87" xfId="3141" xr:uid="{00000000-0005-0000-0000-0000420C0000}"/>
    <cellStyle name="60% - Ênfase2 88" xfId="3142" xr:uid="{00000000-0005-0000-0000-0000430C0000}"/>
    <cellStyle name="60% - Ênfase2 89" xfId="3143" xr:uid="{00000000-0005-0000-0000-0000440C0000}"/>
    <cellStyle name="60% - Ênfase2 9" xfId="3144" xr:uid="{00000000-0005-0000-0000-0000450C0000}"/>
    <cellStyle name="60% - Ênfase2 90" xfId="3145" xr:uid="{00000000-0005-0000-0000-0000460C0000}"/>
    <cellStyle name="60% - Ênfase2 91" xfId="3146" xr:uid="{00000000-0005-0000-0000-0000470C0000}"/>
    <cellStyle name="60% - Ênfase2 92" xfId="3147" xr:uid="{00000000-0005-0000-0000-0000480C0000}"/>
    <cellStyle name="60% - Ênfase2 93" xfId="3148" xr:uid="{00000000-0005-0000-0000-0000490C0000}"/>
    <cellStyle name="60% - Ênfase2 94" xfId="3149" xr:uid="{00000000-0005-0000-0000-00004A0C0000}"/>
    <cellStyle name="60% - Ênfase2 95" xfId="3150" xr:uid="{00000000-0005-0000-0000-00004B0C0000}"/>
    <cellStyle name="60% - Ênfase2 96" xfId="3151" xr:uid="{00000000-0005-0000-0000-00004C0C0000}"/>
    <cellStyle name="60% - Ênfase2 97" xfId="3152" xr:uid="{00000000-0005-0000-0000-00004D0C0000}"/>
    <cellStyle name="60% - Ênfase2 98" xfId="3153" xr:uid="{00000000-0005-0000-0000-00004E0C0000}"/>
    <cellStyle name="60% - Ênfase2 99" xfId="3154" xr:uid="{00000000-0005-0000-0000-00004F0C0000}"/>
    <cellStyle name="60% - Ênfase3 10" xfId="3155" xr:uid="{00000000-0005-0000-0000-0000500C0000}"/>
    <cellStyle name="60% - Ênfase3 100" xfId="3156" xr:uid="{00000000-0005-0000-0000-0000510C0000}"/>
    <cellStyle name="60% - Ênfase3 101" xfId="3157" xr:uid="{00000000-0005-0000-0000-0000520C0000}"/>
    <cellStyle name="60% - Ênfase3 102" xfId="3158" xr:uid="{00000000-0005-0000-0000-0000530C0000}"/>
    <cellStyle name="60% - Ênfase3 103" xfId="3159" xr:uid="{00000000-0005-0000-0000-0000540C0000}"/>
    <cellStyle name="60% - Ênfase3 104" xfId="3160" xr:uid="{00000000-0005-0000-0000-0000550C0000}"/>
    <cellStyle name="60% - Ênfase3 105" xfId="3161" xr:uid="{00000000-0005-0000-0000-0000560C0000}"/>
    <cellStyle name="60% - Ênfase3 106" xfId="3162" xr:uid="{00000000-0005-0000-0000-0000570C0000}"/>
    <cellStyle name="60% - Ênfase3 107" xfId="3163" xr:uid="{00000000-0005-0000-0000-0000580C0000}"/>
    <cellStyle name="60% - Ênfase3 108" xfId="3164" xr:uid="{00000000-0005-0000-0000-0000590C0000}"/>
    <cellStyle name="60% - Ênfase3 109" xfId="3165" xr:uid="{00000000-0005-0000-0000-00005A0C0000}"/>
    <cellStyle name="60% - Ênfase3 11" xfId="3166" xr:uid="{00000000-0005-0000-0000-00005B0C0000}"/>
    <cellStyle name="60% - Ênfase3 110" xfId="3167" xr:uid="{00000000-0005-0000-0000-00005C0C0000}"/>
    <cellStyle name="60% - Ênfase3 111" xfId="3168" xr:uid="{00000000-0005-0000-0000-00005D0C0000}"/>
    <cellStyle name="60% - Ênfase3 112" xfId="3169" xr:uid="{00000000-0005-0000-0000-00005E0C0000}"/>
    <cellStyle name="60% - Ênfase3 113" xfId="3170" xr:uid="{00000000-0005-0000-0000-00005F0C0000}"/>
    <cellStyle name="60% - Ênfase3 114" xfId="3171" xr:uid="{00000000-0005-0000-0000-0000600C0000}"/>
    <cellStyle name="60% - Ênfase3 115" xfId="3172" xr:uid="{00000000-0005-0000-0000-0000610C0000}"/>
    <cellStyle name="60% - Ênfase3 116" xfId="3173" xr:uid="{00000000-0005-0000-0000-0000620C0000}"/>
    <cellStyle name="60% - Ênfase3 117" xfId="3174" xr:uid="{00000000-0005-0000-0000-0000630C0000}"/>
    <cellStyle name="60% - Ênfase3 118" xfId="3175" xr:uid="{00000000-0005-0000-0000-0000640C0000}"/>
    <cellStyle name="60% - Ênfase3 119" xfId="3176" xr:uid="{00000000-0005-0000-0000-0000650C0000}"/>
    <cellStyle name="60% - Ênfase3 12" xfId="3177" xr:uid="{00000000-0005-0000-0000-0000660C0000}"/>
    <cellStyle name="60% - Ênfase3 120" xfId="3178" xr:uid="{00000000-0005-0000-0000-0000670C0000}"/>
    <cellStyle name="60% - Ênfase3 13" xfId="3179" xr:uid="{00000000-0005-0000-0000-0000680C0000}"/>
    <cellStyle name="60% - Ênfase3 14" xfId="3180" xr:uid="{00000000-0005-0000-0000-0000690C0000}"/>
    <cellStyle name="60% - Ênfase3 15" xfId="3181" xr:uid="{00000000-0005-0000-0000-00006A0C0000}"/>
    <cellStyle name="60% - Ênfase3 16" xfId="3182" xr:uid="{00000000-0005-0000-0000-00006B0C0000}"/>
    <cellStyle name="60% - Ênfase3 17" xfId="3183" xr:uid="{00000000-0005-0000-0000-00006C0C0000}"/>
    <cellStyle name="60% - Ênfase3 18" xfId="3184" xr:uid="{00000000-0005-0000-0000-00006D0C0000}"/>
    <cellStyle name="60% - Ênfase3 19" xfId="3185" xr:uid="{00000000-0005-0000-0000-00006E0C0000}"/>
    <cellStyle name="60% - Ênfase3 2" xfId="3186" xr:uid="{00000000-0005-0000-0000-00006F0C0000}"/>
    <cellStyle name="60% - Ênfase3 2 2" xfId="3187" xr:uid="{00000000-0005-0000-0000-0000700C0000}"/>
    <cellStyle name="60% - Ênfase3 2 2 2" xfId="3188" xr:uid="{00000000-0005-0000-0000-0000710C0000}"/>
    <cellStyle name="60% - Ênfase3 2 2 2 2" xfId="3189" xr:uid="{00000000-0005-0000-0000-0000720C0000}"/>
    <cellStyle name="60% - Ênfase3 2 2 2 2 2" xfId="3190" xr:uid="{00000000-0005-0000-0000-0000730C0000}"/>
    <cellStyle name="60% - Ênfase3 2 2 2 2 2 2" xfId="3191" xr:uid="{00000000-0005-0000-0000-0000740C0000}"/>
    <cellStyle name="60% - Ênfase3 2 2 2 2 2 2 2" xfId="3192" xr:uid="{00000000-0005-0000-0000-0000750C0000}"/>
    <cellStyle name="60% - Ênfase3 2 2 2 2 2 3" xfId="3193" xr:uid="{00000000-0005-0000-0000-0000760C0000}"/>
    <cellStyle name="60% - Ênfase3 2 2 2 2 3" xfId="3194" xr:uid="{00000000-0005-0000-0000-0000770C0000}"/>
    <cellStyle name="60% - Ênfase3 2 2 2 2 3 2" xfId="3195" xr:uid="{00000000-0005-0000-0000-0000780C0000}"/>
    <cellStyle name="60% - Ênfase3 2 2 2 3" xfId="3196" xr:uid="{00000000-0005-0000-0000-0000790C0000}"/>
    <cellStyle name="60% - Ênfase3 2 2 2 3 2" xfId="3197" xr:uid="{00000000-0005-0000-0000-00007A0C0000}"/>
    <cellStyle name="60% - Ênfase3 2 2 3" xfId="3198" xr:uid="{00000000-0005-0000-0000-00007B0C0000}"/>
    <cellStyle name="60% - Ênfase3 2 2 4" xfId="3199" xr:uid="{00000000-0005-0000-0000-00007C0C0000}"/>
    <cellStyle name="60% - Ênfase3 2 2 5" xfId="3200" xr:uid="{00000000-0005-0000-0000-00007D0C0000}"/>
    <cellStyle name="60% - Ênfase3 2 2 5 2" xfId="3201" xr:uid="{00000000-0005-0000-0000-00007E0C0000}"/>
    <cellStyle name="60% - Ênfase3 2 2_BD" xfId="3202" xr:uid="{00000000-0005-0000-0000-00007F0C0000}"/>
    <cellStyle name="60% - Ênfase3 2 3" xfId="3203" xr:uid="{00000000-0005-0000-0000-0000800C0000}"/>
    <cellStyle name="60% - Ênfase3 2 4" xfId="3204" xr:uid="{00000000-0005-0000-0000-0000810C0000}"/>
    <cellStyle name="60% - Ênfase3 2 5" xfId="3205" xr:uid="{00000000-0005-0000-0000-0000820C0000}"/>
    <cellStyle name="60% - Ênfase3 2 6" xfId="3206" xr:uid="{00000000-0005-0000-0000-0000830C0000}"/>
    <cellStyle name="60% - Ênfase3 2 6 2" xfId="3207" xr:uid="{00000000-0005-0000-0000-0000840C0000}"/>
    <cellStyle name="60% - Ênfase3 2_BD" xfId="3208" xr:uid="{00000000-0005-0000-0000-0000850C0000}"/>
    <cellStyle name="60% - Ênfase3 20" xfId="3209" xr:uid="{00000000-0005-0000-0000-0000860C0000}"/>
    <cellStyle name="60% - Ênfase3 21" xfId="3210" xr:uid="{00000000-0005-0000-0000-0000870C0000}"/>
    <cellStyle name="60% - Ênfase3 22" xfId="3211" xr:uid="{00000000-0005-0000-0000-0000880C0000}"/>
    <cellStyle name="60% - Ênfase3 23" xfId="3212" xr:uid="{00000000-0005-0000-0000-0000890C0000}"/>
    <cellStyle name="60% - Ênfase3 24" xfId="3213" xr:uid="{00000000-0005-0000-0000-00008A0C0000}"/>
    <cellStyle name="60% - Ênfase3 25" xfId="3214" xr:uid="{00000000-0005-0000-0000-00008B0C0000}"/>
    <cellStyle name="60% - Ênfase3 26" xfId="3215" xr:uid="{00000000-0005-0000-0000-00008C0C0000}"/>
    <cellStyle name="60% - Ênfase3 27" xfId="3216" xr:uid="{00000000-0005-0000-0000-00008D0C0000}"/>
    <cellStyle name="60% - Ênfase3 28" xfId="3217" xr:uid="{00000000-0005-0000-0000-00008E0C0000}"/>
    <cellStyle name="60% - Ênfase3 29" xfId="3218" xr:uid="{00000000-0005-0000-0000-00008F0C0000}"/>
    <cellStyle name="60% - Ênfase3 3" xfId="3219" xr:uid="{00000000-0005-0000-0000-0000900C0000}"/>
    <cellStyle name="60% - Ênfase3 3 2" xfId="3220" xr:uid="{00000000-0005-0000-0000-0000910C0000}"/>
    <cellStyle name="60% - Ênfase3 30" xfId="3221" xr:uid="{00000000-0005-0000-0000-0000920C0000}"/>
    <cellStyle name="60% - Ênfase3 31" xfId="3222" xr:uid="{00000000-0005-0000-0000-0000930C0000}"/>
    <cellStyle name="60% - Ênfase3 32" xfId="3223" xr:uid="{00000000-0005-0000-0000-0000940C0000}"/>
    <cellStyle name="60% - Ênfase3 33" xfId="3224" xr:uid="{00000000-0005-0000-0000-0000950C0000}"/>
    <cellStyle name="60% - Ênfase3 34" xfId="3225" xr:uid="{00000000-0005-0000-0000-0000960C0000}"/>
    <cellStyle name="60% - Ênfase3 35" xfId="3226" xr:uid="{00000000-0005-0000-0000-0000970C0000}"/>
    <cellStyle name="60% - Ênfase3 36" xfId="3227" xr:uid="{00000000-0005-0000-0000-0000980C0000}"/>
    <cellStyle name="60% - Ênfase3 37" xfId="3228" xr:uid="{00000000-0005-0000-0000-0000990C0000}"/>
    <cellStyle name="60% - Ênfase3 38" xfId="3229" xr:uid="{00000000-0005-0000-0000-00009A0C0000}"/>
    <cellStyle name="60% - Ênfase3 39" xfId="3230" xr:uid="{00000000-0005-0000-0000-00009B0C0000}"/>
    <cellStyle name="60% - Ênfase3 4" xfId="3231" xr:uid="{00000000-0005-0000-0000-00009C0C0000}"/>
    <cellStyle name="60% - Ênfase3 40" xfId="3232" xr:uid="{00000000-0005-0000-0000-00009D0C0000}"/>
    <cellStyle name="60% - Ênfase3 41" xfId="3233" xr:uid="{00000000-0005-0000-0000-00009E0C0000}"/>
    <cellStyle name="60% - Ênfase3 42" xfId="3234" xr:uid="{00000000-0005-0000-0000-00009F0C0000}"/>
    <cellStyle name="60% - Ênfase3 43" xfId="3235" xr:uid="{00000000-0005-0000-0000-0000A00C0000}"/>
    <cellStyle name="60% - Ênfase3 44" xfId="3236" xr:uid="{00000000-0005-0000-0000-0000A10C0000}"/>
    <cellStyle name="60% - Ênfase3 45" xfId="3237" xr:uid="{00000000-0005-0000-0000-0000A20C0000}"/>
    <cellStyle name="60% - Ênfase3 46" xfId="3238" xr:uid="{00000000-0005-0000-0000-0000A30C0000}"/>
    <cellStyle name="60% - Ênfase3 47" xfId="3239" xr:uid="{00000000-0005-0000-0000-0000A40C0000}"/>
    <cellStyle name="60% - Ênfase3 48" xfId="3240" xr:uid="{00000000-0005-0000-0000-0000A50C0000}"/>
    <cellStyle name="60% - Ênfase3 49" xfId="3241" xr:uid="{00000000-0005-0000-0000-0000A60C0000}"/>
    <cellStyle name="60% - Ênfase3 5" xfId="3242" xr:uid="{00000000-0005-0000-0000-0000A70C0000}"/>
    <cellStyle name="60% - Ênfase3 50" xfId="3243" xr:uid="{00000000-0005-0000-0000-0000A80C0000}"/>
    <cellStyle name="60% - Ênfase3 51" xfId="3244" xr:uid="{00000000-0005-0000-0000-0000A90C0000}"/>
    <cellStyle name="60% - Ênfase3 52" xfId="3245" xr:uid="{00000000-0005-0000-0000-0000AA0C0000}"/>
    <cellStyle name="60% - Ênfase3 53" xfId="3246" xr:uid="{00000000-0005-0000-0000-0000AB0C0000}"/>
    <cellStyle name="60% - Ênfase3 54" xfId="3247" xr:uid="{00000000-0005-0000-0000-0000AC0C0000}"/>
    <cellStyle name="60% - Ênfase3 55" xfId="3248" xr:uid="{00000000-0005-0000-0000-0000AD0C0000}"/>
    <cellStyle name="60% - Ênfase3 56" xfId="3249" xr:uid="{00000000-0005-0000-0000-0000AE0C0000}"/>
    <cellStyle name="60% - Ênfase3 57" xfId="3250" xr:uid="{00000000-0005-0000-0000-0000AF0C0000}"/>
    <cellStyle name="60% - Ênfase3 58" xfId="3251" xr:uid="{00000000-0005-0000-0000-0000B00C0000}"/>
    <cellStyle name="60% - Ênfase3 59" xfId="3252" xr:uid="{00000000-0005-0000-0000-0000B10C0000}"/>
    <cellStyle name="60% - Ênfase3 6" xfId="3253" xr:uid="{00000000-0005-0000-0000-0000B20C0000}"/>
    <cellStyle name="60% - Ênfase3 60" xfId="3254" xr:uid="{00000000-0005-0000-0000-0000B30C0000}"/>
    <cellStyle name="60% - Ênfase3 61" xfId="3255" xr:uid="{00000000-0005-0000-0000-0000B40C0000}"/>
    <cellStyle name="60% - Ênfase3 62" xfId="3256" xr:uid="{00000000-0005-0000-0000-0000B50C0000}"/>
    <cellStyle name="60% - Ênfase3 63" xfId="3257" xr:uid="{00000000-0005-0000-0000-0000B60C0000}"/>
    <cellStyle name="60% - Ênfase3 64" xfId="3258" xr:uid="{00000000-0005-0000-0000-0000B70C0000}"/>
    <cellStyle name="60% - Ênfase3 65" xfId="3259" xr:uid="{00000000-0005-0000-0000-0000B80C0000}"/>
    <cellStyle name="60% - Ênfase3 66" xfId="3260" xr:uid="{00000000-0005-0000-0000-0000B90C0000}"/>
    <cellStyle name="60% - Ênfase3 67" xfId="3261" xr:uid="{00000000-0005-0000-0000-0000BA0C0000}"/>
    <cellStyle name="60% - Ênfase3 68" xfId="3262" xr:uid="{00000000-0005-0000-0000-0000BB0C0000}"/>
    <cellStyle name="60% - Ênfase3 69" xfId="3263" xr:uid="{00000000-0005-0000-0000-0000BC0C0000}"/>
    <cellStyle name="60% - Ênfase3 7" xfId="3264" xr:uid="{00000000-0005-0000-0000-0000BD0C0000}"/>
    <cellStyle name="60% - Ênfase3 70" xfId="3265" xr:uid="{00000000-0005-0000-0000-0000BE0C0000}"/>
    <cellStyle name="60% - Ênfase3 71" xfId="3266" xr:uid="{00000000-0005-0000-0000-0000BF0C0000}"/>
    <cellStyle name="60% - Ênfase3 72" xfId="3267" xr:uid="{00000000-0005-0000-0000-0000C00C0000}"/>
    <cellStyle name="60% - Ênfase3 73" xfId="3268" xr:uid="{00000000-0005-0000-0000-0000C10C0000}"/>
    <cellStyle name="60% - Ênfase3 74" xfId="3269" xr:uid="{00000000-0005-0000-0000-0000C20C0000}"/>
    <cellStyle name="60% - Ênfase3 75" xfId="3270" xr:uid="{00000000-0005-0000-0000-0000C30C0000}"/>
    <cellStyle name="60% - Ênfase3 76" xfId="3271" xr:uid="{00000000-0005-0000-0000-0000C40C0000}"/>
    <cellStyle name="60% - Ênfase3 77" xfId="3272" xr:uid="{00000000-0005-0000-0000-0000C50C0000}"/>
    <cellStyle name="60% - Ênfase3 78" xfId="3273" xr:uid="{00000000-0005-0000-0000-0000C60C0000}"/>
    <cellStyle name="60% - Ênfase3 79" xfId="3274" xr:uid="{00000000-0005-0000-0000-0000C70C0000}"/>
    <cellStyle name="60% - Ênfase3 8" xfId="3275" xr:uid="{00000000-0005-0000-0000-0000C80C0000}"/>
    <cellStyle name="60% - Ênfase3 80" xfId="3276" xr:uid="{00000000-0005-0000-0000-0000C90C0000}"/>
    <cellStyle name="60% - Ênfase3 81" xfId="3277" xr:uid="{00000000-0005-0000-0000-0000CA0C0000}"/>
    <cellStyle name="60% - Ênfase3 82" xfId="3278" xr:uid="{00000000-0005-0000-0000-0000CB0C0000}"/>
    <cellStyle name="60% - Ênfase3 83" xfId="3279" xr:uid="{00000000-0005-0000-0000-0000CC0C0000}"/>
    <cellStyle name="60% - Ênfase3 84" xfId="3280" xr:uid="{00000000-0005-0000-0000-0000CD0C0000}"/>
    <cellStyle name="60% - Ênfase3 85" xfId="3281" xr:uid="{00000000-0005-0000-0000-0000CE0C0000}"/>
    <cellStyle name="60% - Ênfase3 86" xfId="3282" xr:uid="{00000000-0005-0000-0000-0000CF0C0000}"/>
    <cellStyle name="60% - Ênfase3 87" xfId="3283" xr:uid="{00000000-0005-0000-0000-0000D00C0000}"/>
    <cellStyle name="60% - Ênfase3 88" xfId="3284" xr:uid="{00000000-0005-0000-0000-0000D10C0000}"/>
    <cellStyle name="60% - Ênfase3 89" xfId="3285" xr:uid="{00000000-0005-0000-0000-0000D20C0000}"/>
    <cellStyle name="60% - Ênfase3 9" xfId="3286" xr:uid="{00000000-0005-0000-0000-0000D30C0000}"/>
    <cellStyle name="60% - Ênfase3 90" xfId="3287" xr:uid="{00000000-0005-0000-0000-0000D40C0000}"/>
    <cellStyle name="60% - Ênfase3 91" xfId="3288" xr:uid="{00000000-0005-0000-0000-0000D50C0000}"/>
    <cellStyle name="60% - Ênfase3 92" xfId="3289" xr:uid="{00000000-0005-0000-0000-0000D60C0000}"/>
    <cellStyle name="60% - Ênfase3 93" xfId="3290" xr:uid="{00000000-0005-0000-0000-0000D70C0000}"/>
    <cellStyle name="60% - Ênfase3 94" xfId="3291" xr:uid="{00000000-0005-0000-0000-0000D80C0000}"/>
    <cellStyle name="60% - Ênfase3 95" xfId="3292" xr:uid="{00000000-0005-0000-0000-0000D90C0000}"/>
    <cellStyle name="60% - Ênfase3 96" xfId="3293" xr:uid="{00000000-0005-0000-0000-0000DA0C0000}"/>
    <cellStyle name="60% - Ênfase3 97" xfId="3294" xr:uid="{00000000-0005-0000-0000-0000DB0C0000}"/>
    <cellStyle name="60% - Ênfase3 98" xfId="3295" xr:uid="{00000000-0005-0000-0000-0000DC0C0000}"/>
    <cellStyle name="60% - Ênfase3 99" xfId="3296" xr:uid="{00000000-0005-0000-0000-0000DD0C0000}"/>
    <cellStyle name="60% - Ênfase4 10" xfId="3297" xr:uid="{00000000-0005-0000-0000-0000DE0C0000}"/>
    <cellStyle name="60% - Ênfase4 100" xfId="3298" xr:uid="{00000000-0005-0000-0000-0000DF0C0000}"/>
    <cellStyle name="60% - Ênfase4 101" xfId="3299" xr:uid="{00000000-0005-0000-0000-0000E00C0000}"/>
    <cellStyle name="60% - Ênfase4 102" xfId="3300" xr:uid="{00000000-0005-0000-0000-0000E10C0000}"/>
    <cellStyle name="60% - Ênfase4 103" xfId="3301" xr:uid="{00000000-0005-0000-0000-0000E20C0000}"/>
    <cellStyle name="60% - Ênfase4 104" xfId="3302" xr:uid="{00000000-0005-0000-0000-0000E30C0000}"/>
    <cellStyle name="60% - Ênfase4 105" xfId="3303" xr:uid="{00000000-0005-0000-0000-0000E40C0000}"/>
    <cellStyle name="60% - Ênfase4 106" xfId="3304" xr:uid="{00000000-0005-0000-0000-0000E50C0000}"/>
    <cellStyle name="60% - Ênfase4 107" xfId="3305" xr:uid="{00000000-0005-0000-0000-0000E60C0000}"/>
    <cellStyle name="60% - Ênfase4 108" xfId="3306" xr:uid="{00000000-0005-0000-0000-0000E70C0000}"/>
    <cellStyle name="60% - Ênfase4 109" xfId="3307" xr:uid="{00000000-0005-0000-0000-0000E80C0000}"/>
    <cellStyle name="60% - Ênfase4 11" xfId="3308" xr:uid="{00000000-0005-0000-0000-0000E90C0000}"/>
    <cellStyle name="60% - Ênfase4 110" xfId="3309" xr:uid="{00000000-0005-0000-0000-0000EA0C0000}"/>
    <cellStyle name="60% - Ênfase4 111" xfId="3310" xr:uid="{00000000-0005-0000-0000-0000EB0C0000}"/>
    <cellStyle name="60% - Ênfase4 112" xfId="3311" xr:uid="{00000000-0005-0000-0000-0000EC0C0000}"/>
    <cellStyle name="60% - Ênfase4 113" xfId="3312" xr:uid="{00000000-0005-0000-0000-0000ED0C0000}"/>
    <cellStyle name="60% - Ênfase4 114" xfId="3313" xr:uid="{00000000-0005-0000-0000-0000EE0C0000}"/>
    <cellStyle name="60% - Ênfase4 115" xfId="3314" xr:uid="{00000000-0005-0000-0000-0000EF0C0000}"/>
    <cellStyle name="60% - Ênfase4 116" xfId="3315" xr:uid="{00000000-0005-0000-0000-0000F00C0000}"/>
    <cellStyle name="60% - Ênfase4 117" xfId="3316" xr:uid="{00000000-0005-0000-0000-0000F10C0000}"/>
    <cellStyle name="60% - Ênfase4 118" xfId="3317" xr:uid="{00000000-0005-0000-0000-0000F20C0000}"/>
    <cellStyle name="60% - Ênfase4 119" xfId="3318" xr:uid="{00000000-0005-0000-0000-0000F30C0000}"/>
    <cellStyle name="60% - Ênfase4 12" xfId="3319" xr:uid="{00000000-0005-0000-0000-0000F40C0000}"/>
    <cellStyle name="60% - Ênfase4 120" xfId="3320" xr:uid="{00000000-0005-0000-0000-0000F50C0000}"/>
    <cellStyle name="60% - Ênfase4 13" xfId="3321" xr:uid="{00000000-0005-0000-0000-0000F60C0000}"/>
    <cellStyle name="60% - Ênfase4 14" xfId="3322" xr:uid="{00000000-0005-0000-0000-0000F70C0000}"/>
    <cellStyle name="60% - Ênfase4 15" xfId="3323" xr:uid="{00000000-0005-0000-0000-0000F80C0000}"/>
    <cellStyle name="60% - Ênfase4 16" xfId="3324" xr:uid="{00000000-0005-0000-0000-0000F90C0000}"/>
    <cellStyle name="60% - Ênfase4 17" xfId="3325" xr:uid="{00000000-0005-0000-0000-0000FA0C0000}"/>
    <cellStyle name="60% - Ênfase4 18" xfId="3326" xr:uid="{00000000-0005-0000-0000-0000FB0C0000}"/>
    <cellStyle name="60% - Ênfase4 19" xfId="3327" xr:uid="{00000000-0005-0000-0000-0000FC0C0000}"/>
    <cellStyle name="60% - Ênfase4 2" xfId="3328" xr:uid="{00000000-0005-0000-0000-0000FD0C0000}"/>
    <cellStyle name="60% - Ênfase4 2 2" xfId="3329" xr:uid="{00000000-0005-0000-0000-0000FE0C0000}"/>
    <cellStyle name="60% - Ênfase4 2 2 2" xfId="3330" xr:uid="{00000000-0005-0000-0000-0000FF0C0000}"/>
    <cellStyle name="60% - Ênfase4 2 2 2 2" xfId="3331" xr:uid="{00000000-0005-0000-0000-0000000D0000}"/>
    <cellStyle name="60% - Ênfase4 2 2 2 2 2" xfId="3332" xr:uid="{00000000-0005-0000-0000-0000010D0000}"/>
    <cellStyle name="60% - Ênfase4 2 2 2 2 2 2" xfId="3333" xr:uid="{00000000-0005-0000-0000-0000020D0000}"/>
    <cellStyle name="60% - Ênfase4 2 2 2 2 2 2 2" xfId="3334" xr:uid="{00000000-0005-0000-0000-0000030D0000}"/>
    <cellStyle name="60% - Ênfase4 2 2 2 2 2 3" xfId="3335" xr:uid="{00000000-0005-0000-0000-0000040D0000}"/>
    <cellStyle name="60% - Ênfase4 2 2 2 2 3" xfId="3336" xr:uid="{00000000-0005-0000-0000-0000050D0000}"/>
    <cellStyle name="60% - Ênfase4 2 2 2 2 3 2" xfId="3337" xr:uid="{00000000-0005-0000-0000-0000060D0000}"/>
    <cellStyle name="60% - Ênfase4 2 2 2 3" xfId="3338" xr:uid="{00000000-0005-0000-0000-0000070D0000}"/>
    <cellStyle name="60% - Ênfase4 2 2 2 3 2" xfId="3339" xr:uid="{00000000-0005-0000-0000-0000080D0000}"/>
    <cellStyle name="60% - Ênfase4 2 2 3" xfId="3340" xr:uid="{00000000-0005-0000-0000-0000090D0000}"/>
    <cellStyle name="60% - Ênfase4 2 2 4" xfId="3341" xr:uid="{00000000-0005-0000-0000-00000A0D0000}"/>
    <cellStyle name="60% - Ênfase4 2 2 5" xfId="3342" xr:uid="{00000000-0005-0000-0000-00000B0D0000}"/>
    <cellStyle name="60% - Ênfase4 2 2 5 2" xfId="3343" xr:uid="{00000000-0005-0000-0000-00000C0D0000}"/>
    <cellStyle name="60% - Ênfase4 2 2_BD" xfId="3344" xr:uid="{00000000-0005-0000-0000-00000D0D0000}"/>
    <cellStyle name="60% - Ênfase4 2 3" xfId="3345" xr:uid="{00000000-0005-0000-0000-00000E0D0000}"/>
    <cellStyle name="60% - Ênfase4 2 4" xfId="3346" xr:uid="{00000000-0005-0000-0000-00000F0D0000}"/>
    <cellStyle name="60% - Ênfase4 2 5" xfId="3347" xr:uid="{00000000-0005-0000-0000-0000100D0000}"/>
    <cellStyle name="60% - Ênfase4 2 6" xfId="3348" xr:uid="{00000000-0005-0000-0000-0000110D0000}"/>
    <cellStyle name="60% - Ênfase4 2 6 2" xfId="3349" xr:uid="{00000000-0005-0000-0000-0000120D0000}"/>
    <cellStyle name="60% - Ênfase4 2_BD" xfId="3350" xr:uid="{00000000-0005-0000-0000-0000130D0000}"/>
    <cellStyle name="60% - Ênfase4 20" xfId="3351" xr:uid="{00000000-0005-0000-0000-0000140D0000}"/>
    <cellStyle name="60% - Ênfase4 21" xfId="3352" xr:uid="{00000000-0005-0000-0000-0000150D0000}"/>
    <cellStyle name="60% - Ênfase4 22" xfId="3353" xr:uid="{00000000-0005-0000-0000-0000160D0000}"/>
    <cellStyle name="60% - Ênfase4 23" xfId="3354" xr:uid="{00000000-0005-0000-0000-0000170D0000}"/>
    <cellStyle name="60% - Ênfase4 24" xfId="3355" xr:uid="{00000000-0005-0000-0000-0000180D0000}"/>
    <cellStyle name="60% - Ênfase4 25" xfId="3356" xr:uid="{00000000-0005-0000-0000-0000190D0000}"/>
    <cellStyle name="60% - Ênfase4 26" xfId="3357" xr:uid="{00000000-0005-0000-0000-00001A0D0000}"/>
    <cellStyle name="60% - Ênfase4 27" xfId="3358" xr:uid="{00000000-0005-0000-0000-00001B0D0000}"/>
    <cellStyle name="60% - Ênfase4 28" xfId="3359" xr:uid="{00000000-0005-0000-0000-00001C0D0000}"/>
    <cellStyle name="60% - Ênfase4 29" xfId="3360" xr:uid="{00000000-0005-0000-0000-00001D0D0000}"/>
    <cellStyle name="60% - Ênfase4 3" xfId="3361" xr:uid="{00000000-0005-0000-0000-00001E0D0000}"/>
    <cellStyle name="60% - Ênfase4 3 2" xfId="3362" xr:uid="{00000000-0005-0000-0000-00001F0D0000}"/>
    <cellStyle name="60% - Ênfase4 30" xfId="3363" xr:uid="{00000000-0005-0000-0000-0000200D0000}"/>
    <cellStyle name="60% - Ênfase4 31" xfId="3364" xr:uid="{00000000-0005-0000-0000-0000210D0000}"/>
    <cellStyle name="60% - Ênfase4 32" xfId="3365" xr:uid="{00000000-0005-0000-0000-0000220D0000}"/>
    <cellStyle name="60% - Ênfase4 33" xfId="3366" xr:uid="{00000000-0005-0000-0000-0000230D0000}"/>
    <cellStyle name="60% - Ênfase4 34" xfId="3367" xr:uid="{00000000-0005-0000-0000-0000240D0000}"/>
    <cellStyle name="60% - Ênfase4 35" xfId="3368" xr:uid="{00000000-0005-0000-0000-0000250D0000}"/>
    <cellStyle name="60% - Ênfase4 36" xfId="3369" xr:uid="{00000000-0005-0000-0000-0000260D0000}"/>
    <cellStyle name="60% - Ênfase4 37" xfId="3370" xr:uid="{00000000-0005-0000-0000-0000270D0000}"/>
    <cellStyle name="60% - Ênfase4 38" xfId="3371" xr:uid="{00000000-0005-0000-0000-0000280D0000}"/>
    <cellStyle name="60% - Ênfase4 39" xfId="3372" xr:uid="{00000000-0005-0000-0000-0000290D0000}"/>
    <cellStyle name="60% - Ênfase4 4" xfId="3373" xr:uid="{00000000-0005-0000-0000-00002A0D0000}"/>
    <cellStyle name="60% - Ênfase4 40" xfId="3374" xr:uid="{00000000-0005-0000-0000-00002B0D0000}"/>
    <cellStyle name="60% - Ênfase4 41" xfId="3375" xr:uid="{00000000-0005-0000-0000-00002C0D0000}"/>
    <cellStyle name="60% - Ênfase4 42" xfId="3376" xr:uid="{00000000-0005-0000-0000-00002D0D0000}"/>
    <cellStyle name="60% - Ênfase4 43" xfId="3377" xr:uid="{00000000-0005-0000-0000-00002E0D0000}"/>
    <cellStyle name="60% - Ênfase4 44" xfId="3378" xr:uid="{00000000-0005-0000-0000-00002F0D0000}"/>
    <cellStyle name="60% - Ênfase4 45" xfId="3379" xr:uid="{00000000-0005-0000-0000-0000300D0000}"/>
    <cellStyle name="60% - Ênfase4 46" xfId="3380" xr:uid="{00000000-0005-0000-0000-0000310D0000}"/>
    <cellStyle name="60% - Ênfase4 47" xfId="3381" xr:uid="{00000000-0005-0000-0000-0000320D0000}"/>
    <cellStyle name="60% - Ênfase4 48" xfId="3382" xr:uid="{00000000-0005-0000-0000-0000330D0000}"/>
    <cellStyle name="60% - Ênfase4 49" xfId="3383" xr:uid="{00000000-0005-0000-0000-0000340D0000}"/>
    <cellStyle name="60% - Ênfase4 5" xfId="3384" xr:uid="{00000000-0005-0000-0000-0000350D0000}"/>
    <cellStyle name="60% - Ênfase4 50" xfId="3385" xr:uid="{00000000-0005-0000-0000-0000360D0000}"/>
    <cellStyle name="60% - Ênfase4 51" xfId="3386" xr:uid="{00000000-0005-0000-0000-0000370D0000}"/>
    <cellStyle name="60% - Ênfase4 52" xfId="3387" xr:uid="{00000000-0005-0000-0000-0000380D0000}"/>
    <cellStyle name="60% - Ênfase4 53" xfId="3388" xr:uid="{00000000-0005-0000-0000-0000390D0000}"/>
    <cellStyle name="60% - Ênfase4 54" xfId="3389" xr:uid="{00000000-0005-0000-0000-00003A0D0000}"/>
    <cellStyle name="60% - Ênfase4 55" xfId="3390" xr:uid="{00000000-0005-0000-0000-00003B0D0000}"/>
    <cellStyle name="60% - Ênfase4 56" xfId="3391" xr:uid="{00000000-0005-0000-0000-00003C0D0000}"/>
    <cellStyle name="60% - Ênfase4 57" xfId="3392" xr:uid="{00000000-0005-0000-0000-00003D0D0000}"/>
    <cellStyle name="60% - Ênfase4 58" xfId="3393" xr:uid="{00000000-0005-0000-0000-00003E0D0000}"/>
    <cellStyle name="60% - Ênfase4 59" xfId="3394" xr:uid="{00000000-0005-0000-0000-00003F0D0000}"/>
    <cellStyle name="60% - Ênfase4 6" xfId="3395" xr:uid="{00000000-0005-0000-0000-0000400D0000}"/>
    <cellStyle name="60% - Ênfase4 60" xfId="3396" xr:uid="{00000000-0005-0000-0000-0000410D0000}"/>
    <cellStyle name="60% - Ênfase4 61" xfId="3397" xr:uid="{00000000-0005-0000-0000-0000420D0000}"/>
    <cellStyle name="60% - Ênfase4 62" xfId="3398" xr:uid="{00000000-0005-0000-0000-0000430D0000}"/>
    <cellStyle name="60% - Ênfase4 63" xfId="3399" xr:uid="{00000000-0005-0000-0000-0000440D0000}"/>
    <cellStyle name="60% - Ênfase4 64" xfId="3400" xr:uid="{00000000-0005-0000-0000-0000450D0000}"/>
    <cellStyle name="60% - Ênfase4 65" xfId="3401" xr:uid="{00000000-0005-0000-0000-0000460D0000}"/>
    <cellStyle name="60% - Ênfase4 66" xfId="3402" xr:uid="{00000000-0005-0000-0000-0000470D0000}"/>
    <cellStyle name="60% - Ênfase4 67" xfId="3403" xr:uid="{00000000-0005-0000-0000-0000480D0000}"/>
    <cellStyle name="60% - Ênfase4 68" xfId="3404" xr:uid="{00000000-0005-0000-0000-0000490D0000}"/>
    <cellStyle name="60% - Ênfase4 69" xfId="3405" xr:uid="{00000000-0005-0000-0000-00004A0D0000}"/>
    <cellStyle name="60% - Ênfase4 7" xfId="3406" xr:uid="{00000000-0005-0000-0000-00004B0D0000}"/>
    <cellStyle name="60% - Ênfase4 70" xfId="3407" xr:uid="{00000000-0005-0000-0000-00004C0D0000}"/>
    <cellStyle name="60% - Ênfase4 71" xfId="3408" xr:uid="{00000000-0005-0000-0000-00004D0D0000}"/>
    <cellStyle name="60% - Ênfase4 72" xfId="3409" xr:uid="{00000000-0005-0000-0000-00004E0D0000}"/>
    <cellStyle name="60% - Ênfase4 73" xfId="3410" xr:uid="{00000000-0005-0000-0000-00004F0D0000}"/>
    <cellStyle name="60% - Ênfase4 74" xfId="3411" xr:uid="{00000000-0005-0000-0000-0000500D0000}"/>
    <cellStyle name="60% - Ênfase4 75" xfId="3412" xr:uid="{00000000-0005-0000-0000-0000510D0000}"/>
    <cellStyle name="60% - Ênfase4 76" xfId="3413" xr:uid="{00000000-0005-0000-0000-0000520D0000}"/>
    <cellStyle name="60% - Ênfase4 77" xfId="3414" xr:uid="{00000000-0005-0000-0000-0000530D0000}"/>
    <cellStyle name="60% - Ênfase4 78" xfId="3415" xr:uid="{00000000-0005-0000-0000-0000540D0000}"/>
    <cellStyle name="60% - Ênfase4 79" xfId="3416" xr:uid="{00000000-0005-0000-0000-0000550D0000}"/>
    <cellStyle name="60% - Ênfase4 8" xfId="3417" xr:uid="{00000000-0005-0000-0000-0000560D0000}"/>
    <cellStyle name="60% - Ênfase4 80" xfId="3418" xr:uid="{00000000-0005-0000-0000-0000570D0000}"/>
    <cellStyle name="60% - Ênfase4 81" xfId="3419" xr:uid="{00000000-0005-0000-0000-0000580D0000}"/>
    <cellStyle name="60% - Ênfase4 82" xfId="3420" xr:uid="{00000000-0005-0000-0000-0000590D0000}"/>
    <cellStyle name="60% - Ênfase4 83" xfId="3421" xr:uid="{00000000-0005-0000-0000-00005A0D0000}"/>
    <cellStyle name="60% - Ênfase4 84" xfId="3422" xr:uid="{00000000-0005-0000-0000-00005B0D0000}"/>
    <cellStyle name="60% - Ênfase4 85" xfId="3423" xr:uid="{00000000-0005-0000-0000-00005C0D0000}"/>
    <cellStyle name="60% - Ênfase4 86" xfId="3424" xr:uid="{00000000-0005-0000-0000-00005D0D0000}"/>
    <cellStyle name="60% - Ênfase4 87" xfId="3425" xr:uid="{00000000-0005-0000-0000-00005E0D0000}"/>
    <cellStyle name="60% - Ênfase4 88" xfId="3426" xr:uid="{00000000-0005-0000-0000-00005F0D0000}"/>
    <cellStyle name="60% - Ênfase4 89" xfId="3427" xr:uid="{00000000-0005-0000-0000-0000600D0000}"/>
    <cellStyle name="60% - Ênfase4 9" xfId="3428" xr:uid="{00000000-0005-0000-0000-0000610D0000}"/>
    <cellStyle name="60% - Ênfase4 90" xfId="3429" xr:uid="{00000000-0005-0000-0000-0000620D0000}"/>
    <cellStyle name="60% - Ênfase4 91" xfId="3430" xr:uid="{00000000-0005-0000-0000-0000630D0000}"/>
    <cellStyle name="60% - Ênfase4 92" xfId="3431" xr:uid="{00000000-0005-0000-0000-0000640D0000}"/>
    <cellStyle name="60% - Ênfase4 93" xfId="3432" xr:uid="{00000000-0005-0000-0000-0000650D0000}"/>
    <cellStyle name="60% - Ênfase4 94" xfId="3433" xr:uid="{00000000-0005-0000-0000-0000660D0000}"/>
    <cellStyle name="60% - Ênfase4 95" xfId="3434" xr:uid="{00000000-0005-0000-0000-0000670D0000}"/>
    <cellStyle name="60% - Ênfase4 96" xfId="3435" xr:uid="{00000000-0005-0000-0000-0000680D0000}"/>
    <cellStyle name="60% - Ênfase4 97" xfId="3436" xr:uid="{00000000-0005-0000-0000-0000690D0000}"/>
    <cellStyle name="60% - Ênfase4 98" xfId="3437" xr:uid="{00000000-0005-0000-0000-00006A0D0000}"/>
    <cellStyle name="60% - Ênfase4 99" xfId="3438" xr:uid="{00000000-0005-0000-0000-00006B0D0000}"/>
    <cellStyle name="60% - Ênfase5 10" xfId="3439" xr:uid="{00000000-0005-0000-0000-00006C0D0000}"/>
    <cellStyle name="60% - Ênfase5 100" xfId="3440" xr:uid="{00000000-0005-0000-0000-00006D0D0000}"/>
    <cellStyle name="60% - Ênfase5 101" xfId="3441" xr:uid="{00000000-0005-0000-0000-00006E0D0000}"/>
    <cellStyle name="60% - Ênfase5 102" xfId="3442" xr:uid="{00000000-0005-0000-0000-00006F0D0000}"/>
    <cellStyle name="60% - Ênfase5 103" xfId="3443" xr:uid="{00000000-0005-0000-0000-0000700D0000}"/>
    <cellStyle name="60% - Ênfase5 104" xfId="3444" xr:uid="{00000000-0005-0000-0000-0000710D0000}"/>
    <cellStyle name="60% - Ênfase5 105" xfId="3445" xr:uid="{00000000-0005-0000-0000-0000720D0000}"/>
    <cellStyle name="60% - Ênfase5 106" xfId="3446" xr:uid="{00000000-0005-0000-0000-0000730D0000}"/>
    <cellStyle name="60% - Ênfase5 107" xfId="3447" xr:uid="{00000000-0005-0000-0000-0000740D0000}"/>
    <cellStyle name="60% - Ênfase5 108" xfId="3448" xr:uid="{00000000-0005-0000-0000-0000750D0000}"/>
    <cellStyle name="60% - Ênfase5 109" xfId="3449" xr:uid="{00000000-0005-0000-0000-0000760D0000}"/>
    <cellStyle name="60% - Ênfase5 11" xfId="3450" xr:uid="{00000000-0005-0000-0000-0000770D0000}"/>
    <cellStyle name="60% - Ênfase5 110" xfId="3451" xr:uid="{00000000-0005-0000-0000-0000780D0000}"/>
    <cellStyle name="60% - Ênfase5 111" xfId="3452" xr:uid="{00000000-0005-0000-0000-0000790D0000}"/>
    <cellStyle name="60% - Ênfase5 112" xfId="3453" xr:uid="{00000000-0005-0000-0000-00007A0D0000}"/>
    <cellStyle name="60% - Ênfase5 113" xfId="3454" xr:uid="{00000000-0005-0000-0000-00007B0D0000}"/>
    <cellStyle name="60% - Ênfase5 114" xfId="3455" xr:uid="{00000000-0005-0000-0000-00007C0D0000}"/>
    <cellStyle name="60% - Ênfase5 115" xfId="3456" xr:uid="{00000000-0005-0000-0000-00007D0D0000}"/>
    <cellStyle name="60% - Ênfase5 116" xfId="3457" xr:uid="{00000000-0005-0000-0000-00007E0D0000}"/>
    <cellStyle name="60% - Ênfase5 117" xfId="3458" xr:uid="{00000000-0005-0000-0000-00007F0D0000}"/>
    <cellStyle name="60% - Ênfase5 118" xfId="3459" xr:uid="{00000000-0005-0000-0000-0000800D0000}"/>
    <cellStyle name="60% - Ênfase5 119" xfId="3460" xr:uid="{00000000-0005-0000-0000-0000810D0000}"/>
    <cellStyle name="60% - Ênfase5 12" xfId="3461" xr:uid="{00000000-0005-0000-0000-0000820D0000}"/>
    <cellStyle name="60% - Ênfase5 120" xfId="3462" xr:uid="{00000000-0005-0000-0000-0000830D0000}"/>
    <cellStyle name="60% - Ênfase5 13" xfId="3463" xr:uid="{00000000-0005-0000-0000-0000840D0000}"/>
    <cellStyle name="60% - Ênfase5 14" xfId="3464" xr:uid="{00000000-0005-0000-0000-0000850D0000}"/>
    <cellStyle name="60% - Ênfase5 15" xfId="3465" xr:uid="{00000000-0005-0000-0000-0000860D0000}"/>
    <cellStyle name="60% - Ênfase5 16" xfId="3466" xr:uid="{00000000-0005-0000-0000-0000870D0000}"/>
    <cellStyle name="60% - Ênfase5 17" xfId="3467" xr:uid="{00000000-0005-0000-0000-0000880D0000}"/>
    <cellStyle name="60% - Ênfase5 18" xfId="3468" xr:uid="{00000000-0005-0000-0000-0000890D0000}"/>
    <cellStyle name="60% - Ênfase5 19" xfId="3469" xr:uid="{00000000-0005-0000-0000-00008A0D0000}"/>
    <cellStyle name="60% - Ênfase5 2" xfId="3470" xr:uid="{00000000-0005-0000-0000-00008B0D0000}"/>
    <cellStyle name="60% - Ênfase5 2 2" xfId="3471" xr:uid="{00000000-0005-0000-0000-00008C0D0000}"/>
    <cellStyle name="60% - Ênfase5 2 2 2" xfId="3472" xr:uid="{00000000-0005-0000-0000-00008D0D0000}"/>
    <cellStyle name="60% - Ênfase5 2 2 2 2" xfId="3473" xr:uid="{00000000-0005-0000-0000-00008E0D0000}"/>
    <cellStyle name="60% - Ênfase5 2 2 2 2 2" xfId="3474" xr:uid="{00000000-0005-0000-0000-00008F0D0000}"/>
    <cellStyle name="60% - Ênfase5 2 2 2 2 2 2" xfId="3475" xr:uid="{00000000-0005-0000-0000-0000900D0000}"/>
    <cellStyle name="60% - Ênfase5 2 2 2 2 2 2 2" xfId="3476" xr:uid="{00000000-0005-0000-0000-0000910D0000}"/>
    <cellStyle name="60% - Ênfase5 2 2 2 2 2 3" xfId="3477" xr:uid="{00000000-0005-0000-0000-0000920D0000}"/>
    <cellStyle name="60% - Ênfase5 2 2 2 2 3" xfId="3478" xr:uid="{00000000-0005-0000-0000-0000930D0000}"/>
    <cellStyle name="60% - Ênfase5 2 2 2 2 3 2" xfId="3479" xr:uid="{00000000-0005-0000-0000-0000940D0000}"/>
    <cellStyle name="60% - Ênfase5 2 2 2 3" xfId="3480" xr:uid="{00000000-0005-0000-0000-0000950D0000}"/>
    <cellStyle name="60% - Ênfase5 2 2 2 3 2" xfId="3481" xr:uid="{00000000-0005-0000-0000-0000960D0000}"/>
    <cellStyle name="60% - Ênfase5 2 2 3" xfId="3482" xr:uid="{00000000-0005-0000-0000-0000970D0000}"/>
    <cellStyle name="60% - Ênfase5 2 2 4" xfId="3483" xr:uid="{00000000-0005-0000-0000-0000980D0000}"/>
    <cellStyle name="60% - Ênfase5 2 2 5" xfId="3484" xr:uid="{00000000-0005-0000-0000-0000990D0000}"/>
    <cellStyle name="60% - Ênfase5 2 2 5 2" xfId="3485" xr:uid="{00000000-0005-0000-0000-00009A0D0000}"/>
    <cellStyle name="60% - Ênfase5 2 2_BD" xfId="3486" xr:uid="{00000000-0005-0000-0000-00009B0D0000}"/>
    <cellStyle name="60% - Ênfase5 2 3" xfId="3487" xr:uid="{00000000-0005-0000-0000-00009C0D0000}"/>
    <cellStyle name="60% - Ênfase5 2 4" xfId="3488" xr:uid="{00000000-0005-0000-0000-00009D0D0000}"/>
    <cellStyle name="60% - Ênfase5 2 5" xfId="3489" xr:uid="{00000000-0005-0000-0000-00009E0D0000}"/>
    <cellStyle name="60% - Ênfase5 2 6" xfId="3490" xr:uid="{00000000-0005-0000-0000-00009F0D0000}"/>
    <cellStyle name="60% - Ênfase5 2 6 2" xfId="3491" xr:uid="{00000000-0005-0000-0000-0000A00D0000}"/>
    <cellStyle name="60% - Ênfase5 2_BD" xfId="3492" xr:uid="{00000000-0005-0000-0000-0000A10D0000}"/>
    <cellStyle name="60% - Ênfase5 20" xfId="3493" xr:uid="{00000000-0005-0000-0000-0000A20D0000}"/>
    <cellStyle name="60% - Ênfase5 21" xfId="3494" xr:uid="{00000000-0005-0000-0000-0000A30D0000}"/>
    <cellStyle name="60% - Ênfase5 22" xfId="3495" xr:uid="{00000000-0005-0000-0000-0000A40D0000}"/>
    <cellStyle name="60% - Ênfase5 23" xfId="3496" xr:uid="{00000000-0005-0000-0000-0000A50D0000}"/>
    <cellStyle name="60% - Ênfase5 24" xfId="3497" xr:uid="{00000000-0005-0000-0000-0000A60D0000}"/>
    <cellStyle name="60% - Ênfase5 25" xfId="3498" xr:uid="{00000000-0005-0000-0000-0000A70D0000}"/>
    <cellStyle name="60% - Ênfase5 26" xfId="3499" xr:uid="{00000000-0005-0000-0000-0000A80D0000}"/>
    <cellStyle name="60% - Ênfase5 27" xfId="3500" xr:uid="{00000000-0005-0000-0000-0000A90D0000}"/>
    <cellStyle name="60% - Ênfase5 28" xfId="3501" xr:uid="{00000000-0005-0000-0000-0000AA0D0000}"/>
    <cellStyle name="60% - Ênfase5 29" xfId="3502" xr:uid="{00000000-0005-0000-0000-0000AB0D0000}"/>
    <cellStyle name="60% - Ênfase5 3" xfId="3503" xr:uid="{00000000-0005-0000-0000-0000AC0D0000}"/>
    <cellStyle name="60% - Ênfase5 3 2" xfId="3504" xr:uid="{00000000-0005-0000-0000-0000AD0D0000}"/>
    <cellStyle name="60% - Ênfase5 30" xfId="3505" xr:uid="{00000000-0005-0000-0000-0000AE0D0000}"/>
    <cellStyle name="60% - Ênfase5 31" xfId="3506" xr:uid="{00000000-0005-0000-0000-0000AF0D0000}"/>
    <cellStyle name="60% - Ênfase5 32" xfId="3507" xr:uid="{00000000-0005-0000-0000-0000B00D0000}"/>
    <cellStyle name="60% - Ênfase5 33" xfId="3508" xr:uid="{00000000-0005-0000-0000-0000B10D0000}"/>
    <cellStyle name="60% - Ênfase5 34" xfId="3509" xr:uid="{00000000-0005-0000-0000-0000B20D0000}"/>
    <cellStyle name="60% - Ênfase5 35" xfId="3510" xr:uid="{00000000-0005-0000-0000-0000B30D0000}"/>
    <cellStyle name="60% - Ênfase5 36" xfId="3511" xr:uid="{00000000-0005-0000-0000-0000B40D0000}"/>
    <cellStyle name="60% - Ênfase5 37" xfId="3512" xr:uid="{00000000-0005-0000-0000-0000B50D0000}"/>
    <cellStyle name="60% - Ênfase5 38" xfId="3513" xr:uid="{00000000-0005-0000-0000-0000B60D0000}"/>
    <cellStyle name="60% - Ênfase5 39" xfId="3514" xr:uid="{00000000-0005-0000-0000-0000B70D0000}"/>
    <cellStyle name="60% - Ênfase5 4" xfId="3515" xr:uid="{00000000-0005-0000-0000-0000B80D0000}"/>
    <cellStyle name="60% - Ênfase5 40" xfId="3516" xr:uid="{00000000-0005-0000-0000-0000B90D0000}"/>
    <cellStyle name="60% - Ênfase5 41" xfId="3517" xr:uid="{00000000-0005-0000-0000-0000BA0D0000}"/>
    <cellStyle name="60% - Ênfase5 42" xfId="3518" xr:uid="{00000000-0005-0000-0000-0000BB0D0000}"/>
    <cellStyle name="60% - Ênfase5 43" xfId="3519" xr:uid="{00000000-0005-0000-0000-0000BC0D0000}"/>
    <cellStyle name="60% - Ênfase5 44" xfId="3520" xr:uid="{00000000-0005-0000-0000-0000BD0D0000}"/>
    <cellStyle name="60% - Ênfase5 45" xfId="3521" xr:uid="{00000000-0005-0000-0000-0000BE0D0000}"/>
    <cellStyle name="60% - Ênfase5 46" xfId="3522" xr:uid="{00000000-0005-0000-0000-0000BF0D0000}"/>
    <cellStyle name="60% - Ênfase5 47" xfId="3523" xr:uid="{00000000-0005-0000-0000-0000C00D0000}"/>
    <cellStyle name="60% - Ênfase5 48" xfId="3524" xr:uid="{00000000-0005-0000-0000-0000C10D0000}"/>
    <cellStyle name="60% - Ênfase5 49" xfId="3525" xr:uid="{00000000-0005-0000-0000-0000C20D0000}"/>
    <cellStyle name="60% - Ênfase5 5" xfId="3526" xr:uid="{00000000-0005-0000-0000-0000C30D0000}"/>
    <cellStyle name="60% - Ênfase5 50" xfId="3527" xr:uid="{00000000-0005-0000-0000-0000C40D0000}"/>
    <cellStyle name="60% - Ênfase5 51" xfId="3528" xr:uid="{00000000-0005-0000-0000-0000C50D0000}"/>
    <cellStyle name="60% - Ênfase5 52" xfId="3529" xr:uid="{00000000-0005-0000-0000-0000C60D0000}"/>
    <cellStyle name="60% - Ênfase5 53" xfId="3530" xr:uid="{00000000-0005-0000-0000-0000C70D0000}"/>
    <cellStyle name="60% - Ênfase5 54" xfId="3531" xr:uid="{00000000-0005-0000-0000-0000C80D0000}"/>
    <cellStyle name="60% - Ênfase5 55" xfId="3532" xr:uid="{00000000-0005-0000-0000-0000C90D0000}"/>
    <cellStyle name="60% - Ênfase5 56" xfId="3533" xr:uid="{00000000-0005-0000-0000-0000CA0D0000}"/>
    <cellStyle name="60% - Ênfase5 57" xfId="3534" xr:uid="{00000000-0005-0000-0000-0000CB0D0000}"/>
    <cellStyle name="60% - Ênfase5 58" xfId="3535" xr:uid="{00000000-0005-0000-0000-0000CC0D0000}"/>
    <cellStyle name="60% - Ênfase5 59" xfId="3536" xr:uid="{00000000-0005-0000-0000-0000CD0D0000}"/>
    <cellStyle name="60% - Ênfase5 6" xfId="3537" xr:uid="{00000000-0005-0000-0000-0000CE0D0000}"/>
    <cellStyle name="60% - Ênfase5 60" xfId="3538" xr:uid="{00000000-0005-0000-0000-0000CF0D0000}"/>
    <cellStyle name="60% - Ênfase5 61" xfId="3539" xr:uid="{00000000-0005-0000-0000-0000D00D0000}"/>
    <cellStyle name="60% - Ênfase5 62" xfId="3540" xr:uid="{00000000-0005-0000-0000-0000D10D0000}"/>
    <cellStyle name="60% - Ênfase5 63" xfId="3541" xr:uid="{00000000-0005-0000-0000-0000D20D0000}"/>
    <cellStyle name="60% - Ênfase5 64" xfId="3542" xr:uid="{00000000-0005-0000-0000-0000D30D0000}"/>
    <cellStyle name="60% - Ênfase5 65" xfId="3543" xr:uid="{00000000-0005-0000-0000-0000D40D0000}"/>
    <cellStyle name="60% - Ênfase5 66" xfId="3544" xr:uid="{00000000-0005-0000-0000-0000D50D0000}"/>
    <cellStyle name="60% - Ênfase5 67" xfId="3545" xr:uid="{00000000-0005-0000-0000-0000D60D0000}"/>
    <cellStyle name="60% - Ênfase5 68" xfId="3546" xr:uid="{00000000-0005-0000-0000-0000D70D0000}"/>
    <cellStyle name="60% - Ênfase5 69" xfId="3547" xr:uid="{00000000-0005-0000-0000-0000D80D0000}"/>
    <cellStyle name="60% - Ênfase5 7" xfId="3548" xr:uid="{00000000-0005-0000-0000-0000D90D0000}"/>
    <cellStyle name="60% - Ênfase5 70" xfId="3549" xr:uid="{00000000-0005-0000-0000-0000DA0D0000}"/>
    <cellStyle name="60% - Ênfase5 71" xfId="3550" xr:uid="{00000000-0005-0000-0000-0000DB0D0000}"/>
    <cellStyle name="60% - Ênfase5 72" xfId="3551" xr:uid="{00000000-0005-0000-0000-0000DC0D0000}"/>
    <cellStyle name="60% - Ênfase5 73" xfId="3552" xr:uid="{00000000-0005-0000-0000-0000DD0D0000}"/>
    <cellStyle name="60% - Ênfase5 74" xfId="3553" xr:uid="{00000000-0005-0000-0000-0000DE0D0000}"/>
    <cellStyle name="60% - Ênfase5 75" xfId="3554" xr:uid="{00000000-0005-0000-0000-0000DF0D0000}"/>
    <cellStyle name="60% - Ênfase5 76" xfId="3555" xr:uid="{00000000-0005-0000-0000-0000E00D0000}"/>
    <cellStyle name="60% - Ênfase5 77" xfId="3556" xr:uid="{00000000-0005-0000-0000-0000E10D0000}"/>
    <cellStyle name="60% - Ênfase5 78" xfId="3557" xr:uid="{00000000-0005-0000-0000-0000E20D0000}"/>
    <cellStyle name="60% - Ênfase5 79" xfId="3558" xr:uid="{00000000-0005-0000-0000-0000E30D0000}"/>
    <cellStyle name="60% - Ênfase5 8" xfId="3559" xr:uid="{00000000-0005-0000-0000-0000E40D0000}"/>
    <cellStyle name="60% - Ênfase5 80" xfId="3560" xr:uid="{00000000-0005-0000-0000-0000E50D0000}"/>
    <cellStyle name="60% - Ênfase5 81" xfId="3561" xr:uid="{00000000-0005-0000-0000-0000E60D0000}"/>
    <cellStyle name="60% - Ênfase5 82" xfId="3562" xr:uid="{00000000-0005-0000-0000-0000E70D0000}"/>
    <cellStyle name="60% - Ênfase5 83" xfId="3563" xr:uid="{00000000-0005-0000-0000-0000E80D0000}"/>
    <cellStyle name="60% - Ênfase5 84" xfId="3564" xr:uid="{00000000-0005-0000-0000-0000E90D0000}"/>
    <cellStyle name="60% - Ênfase5 85" xfId="3565" xr:uid="{00000000-0005-0000-0000-0000EA0D0000}"/>
    <cellStyle name="60% - Ênfase5 86" xfId="3566" xr:uid="{00000000-0005-0000-0000-0000EB0D0000}"/>
    <cellStyle name="60% - Ênfase5 87" xfId="3567" xr:uid="{00000000-0005-0000-0000-0000EC0D0000}"/>
    <cellStyle name="60% - Ênfase5 88" xfId="3568" xr:uid="{00000000-0005-0000-0000-0000ED0D0000}"/>
    <cellStyle name="60% - Ênfase5 89" xfId="3569" xr:uid="{00000000-0005-0000-0000-0000EE0D0000}"/>
    <cellStyle name="60% - Ênfase5 9" xfId="3570" xr:uid="{00000000-0005-0000-0000-0000EF0D0000}"/>
    <cellStyle name="60% - Ênfase5 90" xfId="3571" xr:uid="{00000000-0005-0000-0000-0000F00D0000}"/>
    <cellStyle name="60% - Ênfase5 91" xfId="3572" xr:uid="{00000000-0005-0000-0000-0000F10D0000}"/>
    <cellStyle name="60% - Ênfase5 92" xfId="3573" xr:uid="{00000000-0005-0000-0000-0000F20D0000}"/>
    <cellStyle name="60% - Ênfase5 93" xfId="3574" xr:uid="{00000000-0005-0000-0000-0000F30D0000}"/>
    <cellStyle name="60% - Ênfase5 94" xfId="3575" xr:uid="{00000000-0005-0000-0000-0000F40D0000}"/>
    <cellStyle name="60% - Ênfase5 95" xfId="3576" xr:uid="{00000000-0005-0000-0000-0000F50D0000}"/>
    <cellStyle name="60% - Ênfase5 96" xfId="3577" xr:uid="{00000000-0005-0000-0000-0000F60D0000}"/>
    <cellStyle name="60% - Ênfase5 97" xfId="3578" xr:uid="{00000000-0005-0000-0000-0000F70D0000}"/>
    <cellStyle name="60% - Ênfase5 98" xfId="3579" xr:uid="{00000000-0005-0000-0000-0000F80D0000}"/>
    <cellStyle name="60% - Ênfase5 99" xfId="3580" xr:uid="{00000000-0005-0000-0000-0000F90D0000}"/>
    <cellStyle name="60% - Ênfase6 10" xfId="3581" xr:uid="{00000000-0005-0000-0000-0000FA0D0000}"/>
    <cellStyle name="60% - Ênfase6 100" xfId="3582" xr:uid="{00000000-0005-0000-0000-0000FB0D0000}"/>
    <cellStyle name="60% - Ênfase6 101" xfId="3583" xr:uid="{00000000-0005-0000-0000-0000FC0D0000}"/>
    <cellStyle name="60% - Ênfase6 102" xfId="3584" xr:uid="{00000000-0005-0000-0000-0000FD0D0000}"/>
    <cellStyle name="60% - Ênfase6 103" xfId="3585" xr:uid="{00000000-0005-0000-0000-0000FE0D0000}"/>
    <cellStyle name="60% - Ênfase6 104" xfId="3586" xr:uid="{00000000-0005-0000-0000-0000FF0D0000}"/>
    <cellStyle name="60% - Ênfase6 105" xfId="3587" xr:uid="{00000000-0005-0000-0000-0000000E0000}"/>
    <cellStyle name="60% - Ênfase6 106" xfId="3588" xr:uid="{00000000-0005-0000-0000-0000010E0000}"/>
    <cellStyle name="60% - Ênfase6 107" xfId="3589" xr:uid="{00000000-0005-0000-0000-0000020E0000}"/>
    <cellStyle name="60% - Ênfase6 108" xfId="3590" xr:uid="{00000000-0005-0000-0000-0000030E0000}"/>
    <cellStyle name="60% - Ênfase6 109" xfId="3591" xr:uid="{00000000-0005-0000-0000-0000040E0000}"/>
    <cellStyle name="60% - Ênfase6 11" xfId="3592" xr:uid="{00000000-0005-0000-0000-0000050E0000}"/>
    <cellStyle name="60% - Ênfase6 110" xfId="3593" xr:uid="{00000000-0005-0000-0000-0000060E0000}"/>
    <cellStyle name="60% - Ênfase6 111" xfId="3594" xr:uid="{00000000-0005-0000-0000-0000070E0000}"/>
    <cellStyle name="60% - Ênfase6 112" xfId="3595" xr:uid="{00000000-0005-0000-0000-0000080E0000}"/>
    <cellStyle name="60% - Ênfase6 113" xfId="3596" xr:uid="{00000000-0005-0000-0000-0000090E0000}"/>
    <cellStyle name="60% - Ênfase6 114" xfId="3597" xr:uid="{00000000-0005-0000-0000-00000A0E0000}"/>
    <cellStyle name="60% - Ênfase6 115" xfId="3598" xr:uid="{00000000-0005-0000-0000-00000B0E0000}"/>
    <cellStyle name="60% - Ênfase6 116" xfId="3599" xr:uid="{00000000-0005-0000-0000-00000C0E0000}"/>
    <cellStyle name="60% - Ênfase6 117" xfId="3600" xr:uid="{00000000-0005-0000-0000-00000D0E0000}"/>
    <cellStyle name="60% - Ênfase6 118" xfId="3601" xr:uid="{00000000-0005-0000-0000-00000E0E0000}"/>
    <cellStyle name="60% - Ênfase6 119" xfId="3602" xr:uid="{00000000-0005-0000-0000-00000F0E0000}"/>
    <cellStyle name="60% - Ênfase6 12" xfId="3603" xr:uid="{00000000-0005-0000-0000-0000100E0000}"/>
    <cellStyle name="60% - Ênfase6 120" xfId="3604" xr:uid="{00000000-0005-0000-0000-0000110E0000}"/>
    <cellStyle name="60% - Ênfase6 13" xfId="3605" xr:uid="{00000000-0005-0000-0000-0000120E0000}"/>
    <cellStyle name="60% - Ênfase6 14" xfId="3606" xr:uid="{00000000-0005-0000-0000-0000130E0000}"/>
    <cellStyle name="60% - Ênfase6 15" xfId="3607" xr:uid="{00000000-0005-0000-0000-0000140E0000}"/>
    <cellStyle name="60% - Ênfase6 16" xfId="3608" xr:uid="{00000000-0005-0000-0000-0000150E0000}"/>
    <cellStyle name="60% - Ênfase6 17" xfId="3609" xr:uid="{00000000-0005-0000-0000-0000160E0000}"/>
    <cellStyle name="60% - Ênfase6 18" xfId="3610" xr:uid="{00000000-0005-0000-0000-0000170E0000}"/>
    <cellStyle name="60% - Ênfase6 19" xfId="3611" xr:uid="{00000000-0005-0000-0000-0000180E0000}"/>
    <cellStyle name="60% - Ênfase6 2" xfId="3612" xr:uid="{00000000-0005-0000-0000-0000190E0000}"/>
    <cellStyle name="60% - Ênfase6 2 2" xfId="3613" xr:uid="{00000000-0005-0000-0000-00001A0E0000}"/>
    <cellStyle name="60% - Ênfase6 2 2 2" xfId="3614" xr:uid="{00000000-0005-0000-0000-00001B0E0000}"/>
    <cellStyle name="60% - Ênfase6 2 2 2 2" xfId="3615" xr:uid="{00000000-0005-0000-0000-00001C0E0000}"/>
    <cellStyle name="60% - Ênfase6 2 2 2 2 2" xfId="3616" xr:uid="{00000000-0005-0000-0000-00001D0E0000}"/>
    <cellStyle name="60% - Ênfase6 2 2 2 2 2 2" xfId="3617" xr:uid="{00000000-0005-0000-0000-00001E0E0000}"/>
    <cellStyle name="60% - Ênfase6 2 2 2 2 2 2 2" xfId="3618" xr:uid="{00000000-0005-0000-0000-00001F0E0000}"/>
    <cellStyle name="60% - Ênfase6 2 2 2 2 2 3" xfId="3619" xr:uid="{00000000-0005-0000-0000-0000200E0000}"/>
    <cellStyle name="60% - Ênfase6 2 2 2 2 3" xfId="3620" xr:uid="{00000000-0005-0000-0000-0000210E0000}"/>
    <cellStyle name="60% - Ênfase6 2 2 2 2 3 2" xfId="3621" xr:uid="{00000000-0005-0000-0000-0000220E0000}"/>
    <cellStyle name="60% - Ênfase6 2 2 2 3" xfId="3622" xr:uid="{00000000-0005-0000-0000-0000230E0000}"/>
    <cellStyle name="60% - Ênfase6 2 2 2 3 2" xfId="3623" xr:uid="{00000000-0005-0000-0000-0000240E0000}"/>
    <cellStyle name="60% - Ênfase6 2 2 3" xfId="3624" xr:uid="{00000000-0005-0000-0000-0000250E0000}"/>
    <cellStyle name="60% - Ênfase6 2 2 4" xfId="3625" xr:uid="{00000000-0005-0000-0000-0000260E0000}"/>
    <cellStyle name="60% - Ênfase6 2 2 5" xfId="3626" xr:uid="{00000000-0005-0000-0000-0000270E0000}"/>
    <cellStyle name="60% - Ênfase6 2 2 5 2" xfId="3627" xr:uid="{00000000-0005-0000-0000-0000280E0000}"/>
    <cellStyle name="60% - Ênfase6 2 2_BD" xfId="3628" xr:uid="{00000000-0005-0000-0000-0000290E0000}"/>
    <cellStyle name="60% - Ênfase6 2 3" xfId="3629" xr:uid="{00000000-0005-0000-0000-00002A0E0000}"/>
    <cellStyle name="60% - Ênfase6 2 4" xfId="3630" xr:uid="{00000000-0005-0000-0000-00002B0E0000}"/>
    <cellStyle name="60% - Ênfase6 2 5" xfId="3631" xr:uid="{00000000-0005-0000-0000-00002C0E0000}"/>
    <cellStyle name="60% - Ênfase6 2 6" xfId="3632" xr:uid="{00000000-0005-0000-0000-00002D0E0000}"/>
    <cellStyle name="60% - Ênfase6 2 6 2" xfId="3633" xr:uid="{00000000-0005-0000-0000-00002E0E0000}"/>
    <cellStyle name="60% - Ênfase6 2_BD" xfId="3634" xr:uid="{00000000-0005-0000-0000-00002F0E0000}"/>
    <cellStyle name="60% - Ênfase6 20" xfId="3635" xr:uid="{00000000-0005-0000-0000-0000300E0000}"/>
    <cellStyle name="60% - Ênfase6 21" xfId="3636" xr:uid="{00000000-0005-0000-0000-0000310E0000}"/>
    <cellStyle name="60% - Ênfase6 22" xfId="3637" xr:uid="{00000000-0005-0000-0000-0000320E0000}"/>
    <cellStyle name="60% - Ênfase6 23" xfId="3638" xr:uid="{00000000-0005-0000-0000-0000330E0000}"/>
    <cellStyle name="60% - Ênfase6 24" xfId="3639" xr:uid="{00000000-0005-0000-0000-0000340E0000}"/>
    <cellStyle name="60% - Ênfase6 25" xfId="3640" xr:uid="{00000000-0005-0000-0000-0000350E0000}"/>
    <cellStyle name="60% - Ênfase6 26" xfId="3641" xr:uid="{00000000-0005-0000-0000-0000360E0000}"/>
    <cellStyle name="60% - Ênfase6 27" xfId="3642" xr:uid="{00000000-0005-0000-0000-0000370E0000}"/>
    <cellStyle name="60% - Ênfase6 28" xfId="3643" xr:uid="{00000000-0005-0000-0000-0000380E0000}"/>
    <cellStyle name="60% - Ênfase6 29" xfId="3644" xr:uid="{00000000-0005-0000-0000-0000390E0000}"/>
    <cellStyle name="60% - Ênfase6 3" xfId="3645" xr:uid="{00000000-0005-0000-0000-00003A0E0000}"/>
    <cellStyle name="60% - Ênfase6 3 2" xfId="3646" xr:uid="{00000000-0005-0000-0000-00003B0E0000}"/>
    <cellStyle name="60% - Ênfase6 30" xfId="3647" xr:uid="{00000000-0005-0000-0000-00003C0E0000}"/>
    <cellStyle name="60% - Ênfase6 31" xfId="3648" xr:uid="{00000000-0005-0000-0000-00003D0E0000}"/>
    <cellStyle name="60% - Ênfase6 32" xfId="3649" xr:uid="{00000000-0005-0000-0000-00003E0E0000}"/>
    <cellStyle name="60% - Ênfase6 33" xfId="3650" xr:uid="{00000000-0005-0000-0000-00003F0E0000}"/>
    <cellStyle name="60% - Ênfase6 34" xfId="3651" xr:uid="{00000000-0005-0000-0000-0000400E0000}"/>
    <cellStyle name="60% - Ênfase6 35" xfId="3652" xr:uid="{00000000-0005-0000-0000-0000410E0000}"/>
    <cellStyle name="60% - Ênfase6 36" xfId="3653" xr:uid="{00000000-0005-0000-0000-0000420E0000}"/>
    <cellStyle name="60% - Ênfase6 37" xfId="3654" xr:uid="{00000000-0005-0000-0000-0000430E0000}"/>
    <cellStyle name="60% - Ênfase6 38" xfId="3655" xr:uid="{00000000-0005-0000-0000-0000440E0000}"/>
    <cellStyle name="60% - Ênfase6 39" xfId="3656" xr:uid="{00000000-0005-0000-0000-0000450E0000}"/>
    <cellStyle name="60% - Ênfase6 4" xfId="3657" xr:uid="{00000000-0005-0000-0000-0000460E0000}"/>
    <cellStyle name="60% - Ênfase6 40" xfId="3658" xr:uid="{00000000-0005-0000-0000-0000470E0000}"/>
    <cellStyle name="60% - Ênfase6 41" xfId="3659" xr:uid="{00000000-0005-0000-0000-0000480E0000}"/>
    <cellStyle name="60% - Ênfase6 42" xfId="3660" xr:uid="{00000000-0005-0000-0000-0000490E0000}"/>
    <cellStyle name="60% - Ênfase6 43" xfId="3661" xr:uid="{00000000-0005-0000-0000-00004A0E0000}"/>
    <cellStyle name="60% - Ênfase6 44" xfId="3662" xr:uid="{00000000-0005-0000-0000-00004B0E0000}"/>
    <cellStyle name="60% - Ênfase6 45" xfId="3663" xr:uid="{00000000-0005-0000-0000-00004C0E0000}"/>
    <cellStyle name="60% - Ênfase6 46" xfId="3664" xr:uid="{00000000-0005-0000-0000-00004D0E0000}"/>
    <cellStyle name="60% - Ênfase6 47" xfId="3665" xr:uid="{00000000-0005-0000-0000-00004E0E0000}"/>
    <cellStyle name="60% - Ênfase6 48" xfId="3666" xr:uid="{00000000-0005-0000-0000-00004F0E0000}"/>
    <cellStyle name="60% - Ênfase6 49" xfId="3667" xr:uid="{00000000-0005-0000-0000-0000500E0000}"/>
    <cellStyle name="60% - Ênfase6 5" xfId="3668" xr:uid="{00000000-0005-0000-0000-0000510E0000}"/>
    <cellStyle name="60% - Ênfase6 50" xfId="3669" xr:uid="{00000000-0005-0000-0000-0000520E0000}"/>
    <cellStyle name="60% - Ênfase6 51" xfId="3670" xr:uid="{00000000-0005-0000-0000-0000530E0000}"/>
    <cellStyle name="60% - Ênfase6 52" xfId="3671" xr:uid="{00000000-0005-0000-0000-0000540E0000}"/>
    <cellStyle name="60% - Ênfase6 53" xfId="3672" xr:uid="{00000000-0005-0000-0000-0000550E0000}"/>
    <cellStyle name="60% - Ênfase6 54" xfId="3673" xr:uid="{00000000-0005-0000-0000-0000560E0000}"/>
    <cellStyle name="60% - Ênfase6 55" xfId="3674" xr:uid="{00000000-0005-0000-0000-0000570E0000}"/>
    <cellStyle name="60% - Ênfase6 56" xfId="3675" xr:uid="{00000000-0005-0000-0000-0000580E0000}"/>
    <cellStyle name="60% - Ênfase6 57" xfId="3676" xr:uid="{00000000-0005-0000-0000-0000590E0000}"/>
    <cellStyle name="60% - Ênfase6 58" xfId="3677" xr:uid="{00000000-0005-0000-0000-00005A0E0000}"/>
    <cellStyle name="60% - Ênfase6 59" xfId="3678" xr:uid="{00000000-0005-0000-0000-00005B0E0000}"/>
    <cellStyle name="60% - Ênfase6 6" xfId="3679" xr:uid="{00000000-0005-0000-0000-00005C0E0000}"/>
    <cellStyle name="60% - Ênfase6 60" xfId="3680" xr:uid="{00000000-0005-0000-0000-00005D0E0000}"/>
    <cellStyle name="60% - Ênfase6 61" xfId="3681" xr:uid="{00000000-0005-0000-0000-00005E0E0000}"/>
    <cellStyle name="60% - Ênfase6 62" xfId="3682" xr:uid="{00000000-0005-0000-0000-00005F0E0000}"/>
    <cellStyle name="60% - Ênfase6 63" xfId="3683" xr:uid="{00000000-0005-0000-0000-0000600E0000}"/>
    <cellStyle name="60% - Ênfase6 64" xfId="3684" xr:uid="{00000000-0005-0000-0000-0000610E0000}"/>
    <cellStyle name="60% - Ênfase6 65" xfId="3685" xr:uid="{00000000-0005-0000-0000-0000620E0000}"/>
    <cellStyle name="60% - Ênfase6 66" xfId="3686" xr:uid="{00000000-0005-0000-0000-0000630E0000}"/>
    <cellStyle name="60% - Ênfase6 67" xfId="3687" xr:uid="{00000000-0005-0000-0000-0000640E0000}"/>
    <cellStyle name="60% - Ênfase6 68" xfId="3688" xr:uid="{00000000-0005-0000-0000-0000650E0000}"/>
    <cellStyle name="60% - Ênfase6 69" xfId="3689" xr:uid="{00000000-0005-0000-0000-0000660E0000}"/>
    <cellStyle name="60% - Ênfase6 7" xfId="3690" xr:uid="{00000000-0005-0000-0000-0000670E0000}"/>
    <cellStyle name="60% - Ênfase6 70" xfId="3691" xr:uid="{00000000-0005-0000-0000-0000680E0000}"/>
    <cellStyle name="60% - Ênfase6 71" xfId="3692" xr:uid="{00000000-0005-0000-0000-0000690E0000}"/>
    <cellStyle name="60% - Ênfase6 72" xfId="3693" xr:uid="{00000000-0005-0000-0000-00006A0E0000}"/>
    <cellStyle name="60% - Ênfase6 73" xfId="3694" xr:uid="{00000000-0005-0000-0000-00006B0E0000}"/>
    <cellStyle name="60% - Ênfase6 74" xfId="3695" xr:uid="{00000000-0005-0000-0000-00006C0E0000}"/>
    <cellStyle name="60% - Ênfase6 75" xfId="3696" xr:uid="{00000000-0005-0000-0000-00006D0E0000}"/>
    <cellStyle name="60% - Ênfase6 76" xfId="3697" xr:uid="{00000000-0005-0000-0000-00006E0E0000}"/>
    <cellStyle name="60% - Ênfase6 77" xfId="3698" xr:uid="{00000000-0005-0000-0000-00006F0E0000}"/>
    <cellStyle name="60% - Ênfase6 78" xfId="3699" xr:uid="{00000000-0005-0000-0000-0000700E0000}"/>
    <cellStyle name="60% - Ênfase6 79" xfId="3700" xr:uid="{00000000-0005-0000-0000-0000710E0000}"/>
    <cellStyle name="60% - Ênfase6 8" xfId="3701" xr:uid="{00000000-0005-0000-0000-0000720E0000}"/>
    <cellStyle name="60% - Ênfase6 80" xfId="3702" xr:uid="{00000000-0005-0000-0000-0000730E0000}"/>
    <cellStyle name="60% - Ênfase6 81" xfId="3703" xr:uid="{00000000-0005-0000-0000-0000740E0000}"/>
    <cellStyle name="60% - Ênfase6 82" xfId="3704" xr:uid="{00000000-0005-0000-0000-0000750E0000}"/>
    <cellStyle name="60% - Ênfase6 83" xfId="3705" xr:uid="{00000000-0005-0000-0000-0000760E0000}"/>
    <cellStyle name="60% - Ênfase6 84" xfId="3706" xr:uid="{00000000-0005-0000-0000-0000770E0000}"/>
    <cellStyle name="60% - Ênfase6 85" xfId="3707" xr:uid="{00000000-0005-0000-0000-0000780E0000}"/>
    <cellStyle name="60% - Ênfase6 86" xfId="3708" xr:uid="{00000000-0005-0000-0000-0000790E0000}"/>
    <cellStyle name="60% - Ênfase6 87" xfId="3709" xr:uid="{00000000-0005-0000-0000-00007A0E0000}"/>
    <cellStyle name="60% - Ênfase6 88" xfId="3710" xr:uid="{00000000-0005-0000-0000-00007B0E0000}"/>
    <cellStyle name="60% - Ênfase6 89" xfId="3711" xr:uid="{00000000-0005-0000-0000-00007C0E0000}"/>
    <cellStyle name="60% - Ênfase6 9" xfId="3712" xr:uid="{00000000-0005-0000-0000-00007D0E0000}"/>
    <cellStyle name="60% - Ênfase6 90" xfId="3713" xr:uid="{00000000-0005-0000-0000-00007E0E0000}"/>
    <cellStyle name="60% - Ênfase6 91" xfId="3714" xr:uid="{00000000-0005-0000-0000-00007F0E0000}"/>
    <cellStyle name="60% - Ênfase6 92" xfId="3715" xr:uid="{00000000-0005-0000-0000-0000800E0000}"/>
    <cellStyle name="60% - Ênfase6 93" xfId="3716" xr:uid="{00000000-0005-0000-0000-0000810E0000}"/>
    <cellStyle name="60% - Ênfase6 94" xfId="3717" xr:uid="{00000000-0005-0000-0000-0000820E0000}"/>
    <cellStyle name="60% - Ênfase6 95" xfId="3718" xr:uid="{00000000-0005-0000-0000-0000830E0000}"/>
    <cellStyle name="60% - Ênfase6 96" xfId="3719" xr:uid="{00000000-0005-0000-0000-0000840E0000}"/>
    <cellStyle name="60% - Ênfase6 97" xfId="3720" xr:uid="{00000000-0005-0000-0000-0000850E0000}"/>
    <cellStyle name="60% - Ênfase6 98" xfId="3721" xr:uid="{00000000-0005-0000-0000-0000860E0000}"/>
    <cellStyle name="60% - Ênfase6 99" xfId="3722" xr:uid="{00000000-0005-0000-0000-0000870E0000}"/>
    <cellStyle name="Bom 10" xfId="3723" xr:uid="{00000000-0005-0000-0000-0000880E0000}"/>
    <cellStyle name="Bom 100" xfId="3724" xr:uid="{00000000-0005-0000-0000-0000890E0000}"/>
    <cellStyle name="Bom 101" xfId="3725" xr:uid="{00000000-0005-0000-0000-00008A0E0000}"/>
    <cellStyle name="Bom 102" xfId="3726" xr:uid="{00000000-0005-0000-0000-00008B0E0000}"/>
    <cellStyle name="Bom 103" xfId="3727" xr:uid="{00000000-0005-0000-0000-00008C0E0000}"/>
    <cellStyle name="Bom 104" xfId="3728" xr:uid="{00000000-0005-0000-0000-00008D0E0000}"/>
    <cellStyle name="Bom 105" xfId="3729" xr:uid="{00000000-0005-0000-0000-00008E0E0000}"/>
    <cellStyle name="Bom 106" xfId="3730" xr:uid="{00000000-0005-0000-0000-00008F0E0000}"/>
    <cellStyle name="Bom 107" xfId="3731" xr:uid="{00000000-0005-0000-0000-0000900E0000}"/>
    <cellStyle name="Bom 108" xfId="3732" xr:uid="{00000000-0005-0000-0000-0000910E0000}"/>
    <cellStyle name="Bom 109" xfId="3733" xr:uid="{00000000-0005-0000-0000-0000920E0000}"/>
    <cellStyle name="Bom 11" xfId="3734" xr:uid="{00000000-0005-0000-0000-0000930E0000}"/>
    <cellStyle name="Bom 110" xfId="3735" xr:uid="{00000000-0005-0000-0000-0000940E0000}"/>
    <cellStyle name="Bom 111" xfId="3736" xr:uid="{00000000-0005-0000-0000-0000950E0000}"/>
    <cellStyle name="Bom 112" xfId="3737" xr:uid="{00000000-0005-0000-0000-0000960E0000}"/>
    <cellStyle name="Bom 113" xfId="3738" xr:uid="{00000000-0005-0000-0000-0000970E0000}"/>
    <cellStyle name="Bom 114" xfId="3739" xr:uid="{00000000-0005-0000-0000-0000980E0000}"/>
    <cellStyle name="Bom 115" xfId="3740" xr:uid="{00000000-0005-0000-0000-0000990E0000}"/>
    <cellStyle name="Bom 116" xfId="3741" xr:uid="{00000000-0005-0000-0000-00009A0E0000}"/>
    <cellStyle name="Bom 117" xfId="3742" xr:uid="{00000000-0005-0000-0000-00009B0E0000}"/>
    <cellStyle name="Bom 118" xfId="3743" xr:uid="{00000000-0005-0000-0000-00009C0E0000}"/>
    <cellStyle name="Bom 119" xfId="3744" xr:uid="{00000000-0005-0000-0000-00009D0E0000}"/>
    <cellStyle name="Bom 12" xfId="3745" xr:uid="{00000000-0005-0000-0000-00009E0E0000}"/>
    <cellStyle name="Bom 120" xfId="3746" xr:uid="{00000000-0005-0000-0000-00009F0E0000}"/>
    <cellStyle name="Bom 13" xfId="3747" xr:uid="{00000000-0005-0000-0000-0000A00E0000}"/>
    <cellStyle name="Bom 14" xfId="3748" xr:uid="{00000000-0005-0000-0000-0000A10E0000}"/>
    <cellStyle name="Bom 15" xfId="3749" xr:uid="{00000000-0005-0000-0000-0000A20E0000}"/>
    <cellStyle name="Bom 16" xfId="3750" xr:uid="{00000000-0005-0000-0000-0000A30E0000}"/>
    <cellStyle name="Bom 17" xfId="3751" xr:uid="{00000000-0005-0000-0000-0000A40E0000}"/>
    <cellStyle name="Bom 18" xfId="3752" xr:uid="{00000000-0005-0000-0000-0000A50E0000}"/>
    <cellStyle name="Bom 19" xfId="3753" xr:uid="{00000000-0005-0000-0000-0000A60E0000}"/>
    <cellStyle name="Bom 2" xfId="3754" xr:uid="{00000000-0005-0000-0000-0000A70E0000}"/>
    <cellStyle name="Bom 2 2" xfId="3755" xr:uid="{00000000-0005-0000-0000-0000A80E0000}"/>
    <cellStyle name="Bom 2 2 2" xfId="3756" xr:uid="{00000000-0005-0000-0000-0000A90E0000}"/>
    <cellStyle name="Bom 2 2 2 2" xfId="3757" xr:uid="{00000000-0005-0000-0000-0000AA0E0000}"/>
    <cellStyle name="Bom 2 2 2 2 2" xfId="3758" xr:uid="{00000000-0005-0000-0000-0000AB0E0000}"/>
    <cellStyle name="Bom 2 2 2 2 2 2" xfId="3759" xr:uid="{00000000-0005-0000-0000-0000AC0E0000}"/>
    <cellStyle name="Bom 2 2 2 2 2 2 2" xfId="3760" xr:uid="{00000000-0005-0000-0000-0000AD0E0000}"/>
    <cellStyle name="Bom 2 2 2 2 2 3" xfId="3761" xr:uid="{00000000-0005-0000-0000-0000AE0E0000}"/>
    <cellStyle name="Bom 2 2 2 2 3" xfId="3762" xr:uid="{00000000-0005-0000-0000-0000AF0E0000}"/>
    <cellStyle name="Bom 2 2 2 2 3 2" xfId="3763" xr:uid="{00000000-0005-0000-0000-0000B00E0000}"/>
    <cellStyle name="Bom 2 2 2 3" xfId="3764" xr:uid="{00000000-0005-0000-0000-0000B10E0000}"/>
    <cellStyle name="Bom 2 2 2 3 2" xfId="3765" xr:uid="{00000000-0005-0000-0000-0000B20E0000}"/>
    <cellStyle name="Bom 2 2 3" xfId="3766" xr:uid="{00000000-0005-0000-0000-0000B30E0000}"/>
    <cellStyle name="Bom 2 2 4" xfId="3767" xr:uid="{00000000-0005-0000-0000-0000B40E0000}"/>
    <cellStyle name="Bom 2 2 5" xfId="3768" xr:uid="{00000000-0005-0000-0000-0000B50E0000}"/>
    <cellStyle name="Bom 2 2 5 2" xfId="3769" xr:uid="{00000000-0005-0000-0000-0000B60E0000}"/>
    <cellStyle name="Bom 2 2_BD" xfId="3770" xr:uid="{00000000-0005-0000-0000-0000B70E0000}"/>
    <cellStyle name="Bom 2 3" xfId="3771" xr:uid="{00000000-0005-0000-0000-0000B80E0000}"/>
    <cellStyle name="Bom 2 4" xfId="3772" xr:uid="{00000000-0005-0000-0000-0000B90E0000}"/>
    <cellStyle name="Bom 2 5" xfId="3773" xr:uid="{00000000-0005-0000-0000-0000BA0E0000}"/>
    <cellStyle name="Bom 2 6" xfId="3774" xr:uid="{00000000-0005-0000-0000-0000BB0E0000}"/>
    <cellStyle name="Bom 2 6 2" xfId="3775" xr:uid="{00000000-0005-0000-0000-0000BC0E0000}"/>
    <cellStyle name="Bom 2_BD" xfId="3776" xr:uid="{00000000-0005-0000-0000-0000BD0E0000}"/>
    <cellStyle name="Bom 20" xfId="3777" xr:uid="{00000000-0005-0000-0000-0000BE0E0000}"/>
    <cellStyle name="Bom 21" xfId="3778" xr:uid="{00000000-0005-0000-0000-0000BF0E0000}"/>
    <cellStyle name="Bom 22" xfId="3779" xr:uid="{00000000-0005-0000-0000-0000C00E0000}"/>
    <cellStyle name="Bom 23" xfId="3780" xr:uid="{00000000-0005-0000-0000-0000C10E0000}"/>
    <cellStyle name="Bom 24" xfId="3781" xr:uid="{00000000-0005-0000-0000-0000C20E0000}"/>
    <cellStyle name="Bom 25" xfId="3782" xr:uid="{00000000-0005-0000-0000-0000C30E0000}"/>
    <cellStyle name="Bom 26" xfId="3783" xr:uid="{00000000-0005-0000-0000-0000C40E0000}"/>
    <cellStyle name="Bom 27" xfId="3784" xr:uid="{00000000-0005-0000-0000-0000C50E0000}"/>
    <cellStyle name="Bom 28" xfId="3785" xr:uid="{00000000-0005-0000-0000-0000C60E0000}"/>
    <cellStyle name="Bom 29" xfId="3786" xr:uid="{00000000-0005-0000-0000-0000C70E0000}"/>
    <cellStyle name="Bom 3" xfId="3787" xr:uid="{00000000-0005-0000-0000-0000C80E0000}"/>
    <cellStyle name="Bom 3 2" xfId="3788" xr:uid="{00000000-0005-0000-0000-0000C90E0000}"/>
    <cellStyle name="Bom 30" xfId="3789" xr:uid="{00000000-0005-0000-0000-0000CA0E0000}"/>
    <cellStyle name="Bom 31" xfId="3790" xr:uid="{00000000-0005-0000-0000-0000CB0E0000}"/>
    <cellStyle name="Bom 32" xfId="3791" xr:uid="{00000000-0005-0000-0000-0000CC0E0000}"/>
    <cellStyle name="Bom 33" xfId="3792" xr:uid="{00000000-0005-0000-0000-0000CD0E0000}"/>
    <cellStyle name="Bom 34" xfId="3793" xr:uid="{00000000-0005-0000-0000-0000CE0E0000}"/>
    <cellStyle name="Bom 35" xfId="3794" xr:uid="{00000000-0005-0000-0000-0000CF0E0000}"/>
    <cellStyle name="Bom 36" xfId="3795" xr:uid="{00000000-0005-0000-0000-0000D00E0000}"/>
    <cellStyle name="Bom 37" xfId="3796" xr:uid="{00000000-0005-0000-0000-0000D10E0000}"/>
    <cellStyle name="Bom 38" xfId="3797" xr:uid="{00000000-0005-0000-0000-0000D20E0000}"/>
    <cellStyle name="Bom 39" xfId="3798" xr:uid="{00000000-0005-0000-0000-0000D30E0000}"/>
    <cellStyle name="Bom 4" xfId="3799" xr:uid="{00000000-0005-0000-0000-0000D40E0000}"/>
    <cellStyle name="Bom 40" xfId="3800" xr:uid="{00000000-0005-0000-0000-0000D50E0000}"/>
    <cellStyle name="Bom 41" xfId="3801" xr:uid="{00000000-0005-0000-0000-0000D60E0000}"/>
    <cellStyle name="Bom 42" xfId="3802" xr:uid="{00000000-0005-0000-0000-0000D70E0000}"/>
    <cellStyle name="Bom 43" xfId="3803" xr:uid="{00000000-0005-0000-0000-0000D80E0000}"/>
    <cellStyle name="Bom 44" xfId="3804" xr:uid="{00000000-0005-0000-0000-0000D90E0000}"/>
    <cellStyle name="Bom 45" xfId="3805" xr:uid="{00000000-0005-0000-0000-0000DA0E0000}"/>
    <cellStyle name="Bom 46" xfId="3806" xr:uid="{00000000-0005-0000-0000-0000DB0E0000}"/>
    <cellStyle name="Bom 47" xfId="3807" xr:uid="{00000000-0005-0000-0000-0000DC0E0000}"/>
    <cellStyle name="Bom 48" xfId="3808" xr:uid="{00000000-0005-0000-0000-0000DD0E0000}"/>
    <cellStyle name="Bom 49" xfId="3809" xr:uid="{00000000-0005-0000-0000-0000DE0E0000}"/>
    <cellStyle name="Bom 5" xfId="3810" xr:uid="{00000000-0005-0000-0000-0000DF0E0000}"/>
    <cellStyle name="Bom 50" xfId="3811" xr:uid="{00000000-0005-0000-0000-0000E00E0000}"/>
    <cellStyle name="Bom 51" xfId="3812" xr:uid="{00000000-0005-0000-0000-0000E10E0000}"/>
    <cellStyle name="Bom 52" xfId="3813" xr:uid="{00000000-0005-0000-0000-0000E20E0000}"/>
    <cellStyle name="Bom 53" xfId="3814" xr:uid="{00000000-0005-0000-0000-0000E30E0000}"/>
    <cellStyle name="Bom 54" xfId="3815" xr:uid="{00000000-0005-0000-0000-0000E40E0000}"/>
    <cellStyle name="Bom 55" xfId="3816" xr:uid="{00000000-0005-0000-0000-0000E50E0000}"/>
    <cellStyle name="Bom 56" xfId="3817" xr:uid="{00000000-0005-0000-0000-0000E60E0000}"/>
    <cellStyle name="Bom 57" xfId="3818" xr:uid="{00000000-0005-0000-0000-0000E70E0000}"/>
    <cellStyle name="Bom 58" xfId="3819" xr:uid="{00000000-0005-0000-0000-0000E80E0000}"/>
    <cellStyle name="Bom 59" xfId="3820" xr:uid="{00000000-0005-0000-0000-0000E90E0000}"/>
    <cellStyle name="Bom 6" xfId="3821" xr:uid="{00000000-0005-0000-0000-0000EA0E0000}"/>
    <cellStyle name="Bom 60" xfId="3822" xr:uid="{00000000-0005-0000-0000-0000EB0E0000}"/>
    <cellStyle name="Bom 61" xfId="3823" xr:uid="{00000000-0005-0000-0000-0000EC0E0000}"/>
    <cellStyle name="Bom 62" xfId="3824" xr:uid="{00000000-0005-0000-0000-0000ED0E0000}"/>
    <cellStyle name="Bom 63" xfId="3825" xr:uid="{00000000-0005-0000-0000-0000EE0E0000}"/>
    <cellStyle name="Bom 64" xfId="3826" xr:uid="{00000000-0005-0000-0000-0000EF0E0000}"/>
    <cellStyle name="Bom 65" xfId="3827" xr:uid="{00000000-0005-0000-0000-0000F00E0000}"/>
    <cellStyle name="Bom 66" xfId="3828" xr:uid="{00000000-0005-0000-0000-0000F10E0000}"/>
    <cellStyle name="Bom 67" xfId="3829" xr:uid="{00000000-0005-0000-0000-0000F20E0000}"/>
    <cellStyle name="Bom 68" xfId="3830" xr:uid="{00000000-0005-0000-0000-0000F30E0000}"/>
    <cellStyle name="Bom 69" xfId="3831" xr:uid="{00000000-0005-0000-0000-0000F40E0000}"/>
    <cellStyle name="Bom 7" xfId="3832" xr:uid="{00000000-0005-0000-0000-0000F50E0000}"/>
    <cellStyle name="Bom 70" xfId="3833" xr:uid="{00000000-0005-0000-0000-0000F60E0000}"/>
    <cellStyle name="Bom 71" xfId="3834" xr:uid="{00000000-0005-0000-0000-0000F70E0000}"/>
    <cellStyle name="Bom 72" xfId="3835" xr:uid="{00000000-0005-0000-0000-0000F80E0000}"/>
    <cellStyle name="Bom 73" xfId="3836" xr:uid="{00000000-0005-0000-0000-0000F90E0000}"/>
    <cellStyle name="Bom 74" xfId="3837" xr:uid="{00000000-0005-0000-0000-0000FA0E0000}"/>
    <cellStyle name="Bom 75" xfId="3838" xr:uid="{00000000-0005-0000-0000-0000FB0E0000}"/>
    <cellStyle name="Bom 76" xfId="3839" xr:uid="{00000000-0005-0000-0000-0000FC0E0000}"/>
    <cellStyle name="Bom 77" xfId="3840" xr:uid="{00000000-0005-0000-0000-0000FD0E0000}"/>
    <cellStyle name="Bom 78" xfId="3841" xr:uid="{00000000-0005-0000-0000-0000FE0E0000}"/>
    <cellStyle name="Bom 79" xfId="3842" xr:uid="{00000000-0005-0000-0000-0000FF0E0000}"/>
    <cellStyle name="Bom 8" xfId="3843" xr:uid="{00000000-0005-0000-0000-0000000F0000}"/>
    <cellStyle name="Bom 80" xfId="3844" xr:uid="{00000000-0005-0000-0000-0000010F0000}"/>
    <cellStyle name="Bom 81" xfId="3845" xr:uid="{00000000-0005-0000-0000-0000020F0000}"/>
    <cellStyle name="Bom 82" xfId="3846" xr:uid="{00000000-0005-0000-0000-0000030F0000}"/>
    <cellStyle name="Bom 83" xfId="3847" xr:uid="{00000000-0005-0000-0000-0000040F0000}"/>
    <cellStyle name="Bom 84" xfId="3848" xr:uid="{00000000-0005-0000-0000-0000050F0000}"/>
    <cellStyle name="Bom 85" xfId="3849" xr:uid="{00000000-0005-0000-0000-0000060F0000}"/>
    <cellStyle name="Bom 86" xfId="3850" xr:uid="{00000000-0005-0000-0000-0000070F0000}"/>
    <cellStyle name="Bom 87" xfId="3851" xr:uid="{00000000-0005-0000-0000-0000080F0000}"/>
    <cellStyle name="Bom 88" xfId="3852" xr:uid="{00000000-0005-0000-0000-0000090F0000}"/>
    <cellStyle name="Bom 89" xfId="3853" xr:uid="{00000000-0005-0000-0000-00000A0F0000}"/>
    <cellStyle name="Bom 9" xfId="3854" xr:uid="{00000000-0005-0000-0000-00000B0F0000}"/>
    <cellStyle name="Bom 90" xfId="3855" xr:uid="{00000000-0005-0000-0000-00000C0F0000}"/>
    <cellStyle name="Bom 91" xfId="3856" xr:uid="{00000000-0005-0000-0000-00000D0F0000}"/>
    <cellStyle name="Bom 92" xfId="3857" xr:uid="{00000000-0005-0000-0000-00000E0F0000}"/>
    <cellStyle name="Bom 93" xfId="3858" xr:uid="{00000000-0005-0000-0000-00000F0F0000}"/>
    <cellStyle name="Bom 94" xfId="3859" xr:uid="{00000000-0005-0000-0000-0000100F0000}"/>
    <cellStyle name="Bom 95" xfId="3860" xr:uid="{00000000-0005-0000-0000-0000110F0000}"/>
    <cellStyle name="Bom 96" xfId="3861" xr:uid="{00000000-0005-0000-0000-0000120F0000}"/>
    <cellStyle name="Bom 97" xfId="3862" xr:uid="{00000000-0005-0000-0000-0000130F0000}"/>
    <cellStyle name="Bom 98" xfId="3863" xr:uid="{00000000-0005-0000-0000-0000140F0000}"/>
    <cellStyle name="Bom 99" xfId="3864" xr:uid="{00000000-0005-0000-0000-0000150F0000}"/>
    <cellStyle name="Cálculo 10" xfId="3865" xr:uid="{00000000-0005-0000-0000-0000160F0000}"/>
    <cellStyle name="Cálculo 10 2" xfId="3866" xr:uid="{00000000-0005-0000-0000-0000170F0000}"/>
    <cellStyle name="Cálculo 10_Estoque Atual" xfId="3867" xr:uid="{00000000-0005-0000-0000-0000180F0000}"/>
    <cellStyle name="Cálculo 100" xfId="3868" xr:uid="{00000000-0005-0000-0000-0000190F0000}"/>
    <cellStyle name="Cálculo 101" xfId="3869" xr:uid="{00000000-0005-0000-0000-00001A0F0000}"/>
    <cellStyle name="Cálculo 102" xfId="3870" xr:uid="{00000000-0005-0000-0000-00001B0F0000}"/>
    <cellStyle name="Cálculo 103" xfId="3871" xr:uid="{00000000-0005-0000-0000-00001C0F0000}"/>
    <cellStyle name="Cálculo 104" xfId="3872" xr:uid="{00000000-0005-0000-0000-00001D0F0000}"/>
    <cellStyle name="Cálculo 105" xfId="3873" xr:uid="{00000000-0005-0000-0000-00001E0F0000}"/>
    <cellStyle name="Cálculo 106" xfId="3874" xr:uid="{00000000-0005-0000-0000-00001F0F0000}"/>
    <cellStyle name="Cálculo 107" xfId="3875" xr:uid="{00000000-0005-0000-0000-0000200F0000}"/>
    <cellStyle name="Cálculo 108" xfId="3876" xr:uid="{00000000-0005-0000-0000-0000210F0000}"/>
    <cellStyle name="Cálculo 109" xfId="3877" xr:uid="{00000000-0005-0000-0000-0000220F0000}"/>
    <cellStyle name="Cálculo 11" xfId="3878" xr:uid="{00000000-0005-0000-0000-0000230F0000}"/>
    <cellStyle name="Cálculo 11 2" xfId="3879" xr:uid="{00000000-0005-0000-0000-0000240F0000}"/>
    <cellStyle name="Cálculo 11_Estoque Atual" xfId="3880" xr:uid="{00000000-0005-0000-0000-0000250F0000}"/>
    <cellStyle name="Cálculo 110" xfId="3881" xr:uid="{00000000-0005-0000-0000-0000260F0000}"/>
    <cellStyle name="Cálculo 111" xfId="3882" xr:uid="{00000000-0005-0000-0000-0000270F0000}"/>
    <cellStyle name="Cálculo 112" xfId="3883" xr:uid="{00000000-0005-0000-0000-0000280F0000}"/>
    <cellStyle name="Cálculo 113" xfId="3884" xr:uid="{00000000-0005-0000-0000-0000290F0000}"/>
    <cellStyle name="Cálculo 114" xfId="3885" xr:uid="{00000000-0005-0000-0000-00002A0F0000}"/>
    <cellStyle name="Cálculo 115" xfId="3886" xr:uid="{00000000-0005-0000-0000-00002B0F0000}"/>
    <cellStyle name="Cálculo 116" xfId="3887" xr:uid="{00000000-0005-0000-0000-00002C0F0000}"/>
    <cellStyle name="Cálculo 117" xfId="3888" xr:uid="{00000000-0005-0000-0000-00002D0F0000}"/>
    <cellStyle name="Cálculo 118" xfId="3889" xr:uid="{00000000-0005-0000-0000-00002E0F0000}"/>
    <cellStyle name="Cálculo 119" xfId="3890" xr:uid="{00000000-0005-0000-0000-00002F0F0000}"/>
    <cellStyle name="Cálculo 12" xfId="3891" xr:uid="{00000000-0005-0000-0000-0000300F0000}"/>
    <cellStyle name="Cálculo 12 2" xfId="3892" xr:uid="{00000000-0005-0000-0000-0000310F0000}"/>
    <cellStyle name="Cálculo 12_Estoque Atual" xfId="3893" xr:uid="{00000000-0005-0000-0000-0000320F0000}"/>
    <cellStyle name="Cálculo 120" xfId="3894" xr:uid="{00000000-0005-0000-0000-0000330F0000}"/>
    <cellStyle name="Cálculo 13" xfId="3895" xr:uid="{00000000-0005-0000-0000-0000340F0000}"/>
    <cellStyle name="Cálculo 13 2" xfId="3896" xr:uid="{00000000-0005-0000-0000-0000350F0000}"/>
    <cellStyle name="Cálculo 13_Estoque Atual" xfId="3897" xr:uid="{00000000-0005-0000-0000-0000360F0000}"/>
    <cellStyle name="Cálculo 14" xfId="3898" xr:uid="{00000000-0005-0000-0000-0000370F0000}"/>
    <cellStyle name="Cálculo 14 2" xfId="3899" xr:uid="{00000000-0005-0000-0000-0000380F0000}"/>
    <cellStyle name="Cálculo 14_Estoque Atual" xfId="3900" xr:uid="{00000000-0005-0000-0000-0000390F0000}"/>
    <cellStyle name="Cálculo 15" xfId="3901" xr:uid="{00000000-0005-0000-0000-00003A0F0000}"/>
    <cellStyle name="Cálculo 15 2" xfId="3902" xr:uid="{00000000-0005-0000-0000-00003B0F0000}"/>
    <cellStyle name="Cálculo 15_Estoque Atual" xfId="3903" xr:uid="{00000000-0005-0000-0000-00003C0F0000}"/>
    <cellStyle name="Cálculo 16" xfId="3904" xr:uid="{00000000-0005-0000-0000-00003D0F0000}"/>
    <cellStyle name="Cálculo 16 2" xfId="3905" xr:uid="{00000000-0005-0000-0000-00003E0F0000}"/>
    <cellStyle name="Cálculo 16_Estoque Atual" xfId="3906" xr:uid="{00000000-0005-0000-0000-00003F0F0000}"/>
    <cellStyle name="Cálculo 17" xfId="3907" xr:uid="{00000000-0005-0000-0000-0000400F0000}"/>
    <cellStyle name="Cálculo 17 2" xfId="3908" xr:uid="{00000000-0005-0000-0000-0000410F0000}"/>
    <cellStyle name="Cálculo 17_Estoque Atual" xfId="3909" xr:uid="{00000000-0005-0000-0000-0000420F0000}"/>
    <cellStyle name="Cálculo 18" xfId="3910" xr:uid="{00000000-0005-0000-0000-0000430F0000}"/>
    <cellStyle name="Cálculo 18 2" xfId="3911" xr:uid="{00000000-0005-0000-0000-0000440F0000}"/>
    <cellStyle name="Cálculo 18_Estoque Atual" xfId="3912" xr:uid="{00000000-0005-0000-0000-0000450F0000}"/>
    <cellStyle name="Cálculo 19" xfId="3913" xr:uid="{00000000-0005-0000-0000-0000460F0000}"/>
    <cellStyle name="Cálculo 19 2" xfId="3914" xr:uid="{00000000-0005-0000-0000-0000470F0000}"/>
    <cellStyle name="Cálculo 19_Estoque Atual" xfId="3915" xr:uid="{00000000-0005-0000-0000-0000480F0000}"/>
    <cellStyle name="Cálculo 2" xfId="3916" xr:uid="{00000000-0005-0000-0000-0000490F0000}"/>
    <cellStyle name="Cálculo 2 2" xfId="3917" xr:uid="{00000000-0005-0000-0000-00004A0F0000}"/>
    <cellStyle name="Cálculo 2 2 2" xfId="3918" xr:uid="{00000000-0005-0000-0000-00004B0F0000}"/>
    <cellStyle name="Cálculo 2 2 2 2" xfId="3919" xr:uid="{00000000-0005-0000-0000-00004C0F0000}"/>
    <cellStyle name="Cálculo 2 2 2 2 2" xfId="3920" xr:uid="{00000000-0005-0000-0000-00004D0F0000}"/>
    <cellStyle name="Cálculo 2 2 2 2 2 2" xfId="3921" xr:uid="{00000000-0005-0000-0000-00004E0F0000}"/>
    <cellStyle name="Cálculo 2 2 2 2 2 2 2" xfId="3922" xr:uid="{00000000-0005-0000-0000-00004F0F0000}"/>
    <cellStyle name="Cálculo 2 2 2 2 2 3" xfId="3923" xr:uid="{00000000-0005-0000-0000-0000500F0000}"/>
    <cellStyle name="Cálculo 2 2 2 2 3" xfId="3924" xr:uid="{00000000-0005-0000-0000-0000510F0000}"/>
    <cellStyle name="Cálculo 2 2 2 2 3 2" xfId="3925" xr:uid="{00000000-0005-0000-0000-0000520F0000}"/>
    <cellStyle name="Cálculo 2 2 2 3" xfId="3926" xr:uid="{00000000-0005-0000-0000-0000530F0000}"/>
    <cellStyle name="Cálculo 2 2 2 3 2" xfId="3927" xr:uid="{00000000-0005-0000-0000-0000540F0000}"/>
    <cellStyle name="Cálculo 2 2 3" xfId="3928" xr:uid="{00000000-0005-0000-0000-0000550F0000}"/>
    <cellStyle name="Cálculo 2 2 4" xfId="3929" xr:uid="{00000000-0005-0000-0000-0000560F0000}"/>
    <cellStyle name="Cálculo 2 2 5" xfId="3930" xr:uid="{00000000-0005-0000-0000-0000570F0000}"/>
    <cellStyle name="Cálculo 2 2 5 2" xfId="3931" xr:uid="{00000000-0005-0000-0000-0000580F0000}"/>
    <cellStyle name="Cálculo 2 2_BD" xfId="3932" xr:uid="{00000000-0005-0000-0000-0000590F0000}"/>
    <cellStyle name="Cálculo 2 3" xfId="3933" xr:uid="{00000000-0005-0000-0000-00005A0F0000}"/>
    <cellStyle name="Cálculo 2 4" xfId="3934" xr:uid="{00000000-0005-0000-0000-00005B0F0000}"/>
    <cellStyle name="Cálculo 2 5" xfId="3935" xr:uid="{00000000-0005-0000-0000-00005C0F0000}"/>
    <cellStyle name="Cálculo 2 6" xfId="3936" xr:uid="{00000000-0005-0000-0000-00005D0F0000}"/>
    <cellStyle name="Cálculo 2 6 2" xfId="3937" xr:uid="{00000000-0005-0000-0000-00005E0F0000}"/>
    <cellStyle name="Cálculo 2_BD" xfId="3938" xr:uid="{00000000-0005-0000-0000-00005F0F0000}"/>
    <cellStyle name="Cálculo 20" xfId="3939" xr:uid="{00000000-0005-0000-0000-0000600F0000}"/>
    <cellStyle name="Cálculo 20 2" xfId="3940" xr:uid="{00000000-0005-0000-0000-0000610F0000}"/>
    <cellStyle name="Cálculo 20_Estoque Atual" xfId="3941" xr:uid="{00000000-0005-0000-0000-0000620F0000}"/>
    <cellStyle name="Cálculo 21" xfId="3942" xr:uid="{00000000-0005-0000-0000-0000630F0000}"/>
    <cellStyle name="Cálculo 21 2" xfId="3943" xr:uid="{00000000-0005-0000-0000-0000640F0000}"/>
    <cellStyle name="Cálculo 21_Estoque Atual" xfId="3944" xr:uid="{00000000-0005-0000-0000-0000650F0000}"/>
    <cellStyle name="Cálculo 22" xfId="3945" xr:uid="{00000000-0005-0000-0000-0000660F0000}"/>
    <cellStyle name="Cálculo 22 2" xfId="3946" xr:uid="{00000000-0005-0000-0000-0000670F0000}"/>
    <cellStyle name="Cálculo 22_Estoque Atual" xfId="3947" xr:uid="{00000000-0005-0000-0000-0000680F0000}"/>
    <cellStyle name="Cálculo 23" xfId="3948" xr:uid="{00000000-0005-0000-0000-0000690F0000}"/>
    <cellStyle name="Cálculo 23 2" xfId="3949" xr:uid="{00000000-0005-0000-0000-00006A0F0000}"/>
    <cellStyle name="Cálculo 23_Estoque Atual" xfId="3950" xr:uid="{00000000-0005-0000-0000-00006B0F0000}"/>
    <cellStyle name="Cálculo 24" xfId="3951" xr:uid="{00000000-0005-0000-0000-00006C0F0000}"/>
    <cellStyle name="Cálculo 24 2" xfId="3952" xr:uid="{00000000-0005-0000-0000-00006D0F0000}"/>
    <cellStyle name="Cálculo 24_Estoque Atual" xfId="3953" xr:uid="{00000000-0005-0000-0000-00006E0F0000}"/>
    <cellStyle name="Cálculo 25" xfId="3954" xr:uid="{00000000-0005-0000-0000-00006F0F0000}"/>
    <cellStyle name="Cálculo 25 2" xfId="3955" xr:uid="{00000000-0005-0000-0000-0000700F0000}"/>
    <cellStyle name="Cálculo 25_Estoque Atual" xfId="3956" xr:uid="{00000000-0005-0000-0000-0000710F0000}"/>
    <cellStyle name="Cálculo 26" xfId="3957" xr:uid="{00000000-0005-0000-0000-0000720F0000}"/>
    <cellStyle name="Cálculo 26 2" xfId="3958" xr:uid="{00000000-0005-0000-0000-0000730F0000}"/>
    <cellStyle name="Cálculo 26_Estoque Atual" xfId="3959" xr:uid="{00000000-0005-0000-0000-0000740F0000}"/>
    <cellStyle name="Cálculo 27" xfId="3960" xr:uid="{00000000-0005-0000-0000-0000750F0000}"/>
    <cellStyle name="Cálculo 27 2" xfId="3961" xr:uid="{00000000-0005-0000-0000-0000760F0000}"/>
    <cellStyle name="Cálculo 27_Estoque Atual" xfId="3962" xr:uid="{00000000-0005-0000-0000-0000770F0000}"/>
    <cellStyle name="Cálculo 28" xfId="3963" xr:uid="{00000000-0005-0000-0000-0000780F0000}"/>
    <cellStyle name="Cálculo 28 2" xfId="3964" xr:uid="{00000000-0005-0000-0000-0000790F0000}"/>
    <cellStyle name="Cálculo 28_Estoque Atual" xfId="3965" xr:uid="{00000000-0005-0000-0000-00007A0F0000}"/>
    <cellStyle name="Cálculo 29" xfId="3966" xr:uid="{00000000-0005-0000-0000-00007B0F0000}"/>
    <cellStyle name="Cálculo 29 2" xfId="3967" xr:uid="{00000000-0005-0000-0000-00007C0F0000}"/>
    <cellStyle name="Cálculo 29_Estoque Atual" xfId="3968" xr:uid="{00000000-0005-0000-0000-00007D0F0000}"/>
    <cellStyle name="Cálculo 3" xfId="3969" xr:uid="{00000000-0005-0000-0000-00007E0F0000}"/>
    <cellStyle name="Cálculo 3 2" xfId="3970" xr:uid="{00000000-0005-0000-0000-00007F0F0000}"/>
    <cellStyle name="Cálculo 3 3" xfId="3971" xr:uid="{00000000-0005-0000-0000-0000800F0000}"/>
    <cellStyle name="Cálculo 3_Estoque Atual" xfId="3972" xr:uid="{00000000-0005-0000-0000-0000810F0000}"/>
    <cellStyle name="Cálculo 30" xfId="3973" xr:uid="{00000000-0005-0000-0000-0000820F0000}"/>
    <cellStyle name="Cálculo 31" xfId="3974" xr:uid="{00000000-0005-0000-0000-0000830F0000}"/>
    <cellStyle name="Cálculo 32" xfId="3975" xr:uid="{00000000-0005-0000-0000-0000840F0000}"/>
    <cellStyle name="Cálculo 33" xfId="3976" xr:uid="{00000000-0005-0000-0000-0000850F0000}"/>
    <cellStyle name="Cálculo 34" xfId="3977" xr:uid="{00000000-0005-0000-0000-0000860F0000}"/>
    <cellStyle name="Cálculo 35" xfId="3978" xr:uid="{00000000-0005-0000-0000-0000870F0000}"/>
    <cellStyle name="Cálculo 35 2" xfId="3979" xr:uid="{00000000-0005-0000-0000-0000880F0000}"/>
    <cellStyle name="Cálculo 35_Planejamento PCP" xfId="3980" xr:uid="{00000000-0005-0000-0000-0000890F0000}"/>
    <cellStyle name="Cálculo 36" xfId="3981" xr:uid="{00000000-0005-0000-0000-00008A0F0000}"/>
    <cellStyle name="Cálculo 36 2" xfId="3982" xr:uid="{00000000-0005-0000-0000-00008B0F0000}"/>
    <cellStyle name="Cálculo 36_Planejamento PCP" xfId="3983" xr:uid="{00000000-0005-0000-0000-00008C0F0000}"/>
    <cellStyle name="Cálculo 37" xfId="3984" xr:uid="{00000000-0005-0000-0000-00008D0F0000}"/>
    <cellStyle name="Cálculo 37 2" xfId="3985" xr:uid="{00000000-0005-0000-0000-00008E0F0000}"/>
    <cellStyle name="Cálculo 37_Planejamento PCP" xfId="3986" xr:uid="{00000000-0005-0000-0000-00008F0F0000}"/>
    <cellStyle name="Cálculo 38" xfId="3987" xr:uid="{00000000-0005-0000-0000-0000900F0000}"/>
    <cellStyle name="Cálculo 38 2" xfId="3988" xr:uid="{00000000-0005-0000-0000-0000910F0000}"/>
    <cellStyle name="Cálculo 38_Planejamento PCP" xfId="3989" xr:uid="{00000000-0005-0000-0000-0000920F0000}"/>
    <cellStyle name="Cálculo 39" xfId="3990" xr:uid="{00000000-0005-0000-0000-0000930F0000}"/>
    <cellStyle name="Cálculo 39 2" xfId="3991" xr:uid="{00000000-0005-0000-0000-0000940F0000}"/>
    <cellStyle name="Cálculo 39_Planejamento PCP" xfId="3992" xr:uid="{00000000-0005-0000-0000-0000950F0000}"/>
    <cellStyle name="Cálculo 4" xfId="3993" xr:uid="{00000000-0005-0000-0000-0000960F0000}"/>
    <cellStyle name="Cálculo 4 2" xfId="3994" xr:uid="{00000000-0005-0000-0000-0000970F0000}"/>
    <cellStyle name="Cálculo 4_Estoque Atual" xfId="3995" xr:uid="{00000000-0005-0000-0000-0000980F0000}"/>
    <cellStyle name="Cálculo 40" xfId="3996" xr:uid="{00000000-0005-0000-0000-0000990F0000}"/>
    <cellStyle name="Cálculo 40 2" xfId="3997" xr:uid="{00000000-0005-0000-0000-00009A0F0000}"/>
    <cellStyle name="Cálculo 40_Planejamento PCP" xfId="3998" xr:uid="{00000000-0005-0000-0000-00009B0F0000}"/>
    <cellStyle name="Cálculo 41" xfId="3999" xr:uid="{00000000-0005-0000-0000-00009C0F0000}"/>
    <cellStyle name="Cálculo 42" xfId="4000" xr:uid="{00000000-0005-0000-0000-00009D0F0000}"/>
    <cellStyle name="Cálculo 43" xfId="4001" xr:uid="{00000000-0005-0000-0000-00009E0F0000}"/>
    <cellStyle name="Cálculo 44" xfId="4002" xr:uid="{00000000-0005-0000-0000-00009F0F0000}"/>
    <cellStyle name="Cálculo 45" xfId="4003" xr:uid="{00000000-0005-0000-0000-0000A00F0000}"/>
    <cellStyle name="Cálculo 46" xfId="4004" xr:uid="{00000000-0005-0000-0000-0000A10F0000}"/>
    <cellStyle name="Cálculo 47" xfId="4005" xr:uid="{00000000-0005-0000-0000-0000A20F0000}"/>
    <cellStyle name="Cálculo 48" xfId="4006" xr:uid="{00000000-0005-0000-0000-0000A30F0000}"/>
    <cellStyle name="Cálculo 49" xfId="4007" xr:uid="{00000000-0005-0000-0000-0000A40F0000}"/>
    <cellStyle name="Cálculo 5" xfId="4008" xr:uid="{00000000-0005-0000-0000-0000A50F0000}"/>
    <cellStyle name="Cálculo 5 2" xfId="4009" xr:uid="{00000000-0005-0000-0000-0000A60F0000}"/>
    <cellStyle name="Cálculo 5_Estoque Atual" xfId="4010" xr:uid="{00000000-0005-0000-0000-0000A70F0000}"/>
    <cellStyle name="Cálculo 50" xfId="4011" xr:uid="{00000000-0005-0000-0000-0000A80F0000}"/>
    <cellStyle name="Cálculo 51" xfId="4012" xr:uid="{00000000-0005-0000-0000-0000A90F0000}"/>
    <cellStyle name="Cálculo 52" xfId="4013" xr:uid="{00000000-0005-0000-0000-0000AA0F0000}"/>
    <cellStyle name="Cálculo 53" xfId="4014" xr:uid="{00000000-0005-0000-0000-0000AB0F0000}"/>
    <cellStyle name="Cálculo 54" xfId="4015" xr:uid="{00000000-0005-0000-0000-0000AC0F0000}"/>
    <cellStyle name="Cálculo 55" xfId="4016" xr:uid="{00000000-0005-0000-0000-0000AD0F0000}"/>
    <cellStyle name="Cálculo 56" xfId="4017" xr:uid="{00000000-0005-0000-0000-0000AE0F0000}"/>
    <cellStyle name="Cálculo 57" xfId="4018" xr:uid="{00000000-0005-0000-0000-0000AF0F0000}"/>
    <cellStyle name="Cálculo 58" xfId="4019" xr:uid="{00000000-0005-0000-0000-0000B00F0000}"/>
    <cellStyle name="Cálculo 59" xfId="4020" xr:uid="{00000000-0005-0000-0000-0000B10F0000}"/>
    <cellStyle name="Cálculo 6" xfId="4021" xr:uid="{00000000-0005-0000-0000-0000B20F0000}"/>
    <cellStyle name="Cálculo 6 2" xfId="4022" xr:uid="{00000000-0005-0000-0000-0000B30F0000}"/>
    <cellStyle name="Cálculo 6_Estoque Atual" xfId="4023" xr:uid="{00000000-0005-0000-0000-0000B40F0000}"/>
    <cellStyle name="Cálculo 60" xfId="4024" xr:uid="{00000000-0005-0000-0000-0000B50F0000}"/>
    <cellStyle name="Cálculo 61" xfId="4025" xr:uid="{00000000-0005-0000-0000-0000B60F0000}"/>
    <cellStyle name="Cálculo 62" xfId="4026" xr:uid="{00000000-0005-0000-0000-0000B70F0000}"/>
    <cellStyle name="Cálculo 63" xfId="4027" xr:uid="{00000000-0005-0000-0000-0000B80F0000}"/>
    <cellStyle name="Cálculo 64" xfId="4028" xr:uid="{00000000-0005-0000-0000-0000B90F0000}"/>
    <cellStyle name="Cálculo 65" xfId="4029" xr:uid="{00000000-0005-0000-0000-0000BA0F0000}"/>
    <cellStyle name="Cálculo 66" xfId="4030" xr:uid="{00000000-0005-0000-0000-0000BB0F0000}"/>
    <cellStyle name="Cálculo 67" xfId="4031" xr:uid="{00000000-0005-0000-0000-0000BC0F0000}"/>
    <cellStyle name="Cálculo 68" xfId="4032" xr:uid="{00000000-0005-0000-0000-0000BD0F0000}"/>
    <cellStyle name="Cálculo 69" xfId="4033" xr:uid="{00000000-0005-0000-0000-0000BE0F0000}"/>
    <cellStyle name="Cálculo 7" xfId="4034" xr:uid="{00000000-0005-0000-0000-0000BF0F0000}"/>
    <cellStyle name="Cálculo 7 2" xfId="4035" xr:uid="{00000000-0005-0000-0000-0000C00F0000}"/>
    <cellStyle name="Cálculo 7_Estoque Atual" xfId="4036" xr:uid="{00000000-0005-0000-0000-0000C10F0000}"/>
    <cellStyle name="Cálculo 70" xfId="4037" xr:uid="{00000000-0005-0000-0000-0000C20F0000}"/>
    <cellStyle name="Cálculo 71" xfId="4038" xr:uid="{00000000-0005-0000-0000-0000C30F0000}"/>
    <cellStyle name="Cálculo 72" xfId="4039" xr:uid="{00000000-0005-0000-0000-0000C40F0000}"/>
    <cellStyle name="Cálculo 73" xfId="4040" xr:uid="{00000000-0005-0000-0000-0000C50F0000}"/>
    <cellStyle name="Cálculo 74" xfId="4041" xr:uid="{00000000-0005-0000-0000-0000C60F0000}"/>
    <cellStyle name="Cálculo 75" xfId="4042" xr:uid="{00000000-0005-0000-0000-0000C70F0000}"/>
    <cellStyle name="Cálculo 76" xfId="4043" xr:uid="{00000000-0005-0000-0000-0000C80F0000}"/>
    <cellStyle name="Cálculo 77" xfId="4044" xr:uid="{00000000-0005-0000-0000-0000C90F0000}"/>
    <cellStyle name="Cálculo 78" xfId="4045" xr:uid="{00000000-0005-0000-0000-0000CA0F0000}"/>
    <cellStyle name="Cálculo 79" xfId="4046" xr:uid="{00000000-0005-0000-0000-0000CB0F0000}"/>
    <cellStyle name="Cálculo 8" xfId="4047" xr:uid="{00000000-0005-0000-0000-0000CC0F0000}"/>
    <cellStyle name="Cálculo 8 2" xfId="4048" xr:uid="{00000000-0005-0000-0000-0000CD0F0000}"/>
    <cellStyle name="Cálculo 8_Estoque Atual" xfId="4049" xr:uid="{00000000-0005-0000-0000-0000CE0F0000}"/>
    <cellStyle name="Cálculo 80" xfId="4050" xr:uid="{00000000-0005-0000-0000-0000CF0F0000}"/>
    <cellStyle name="Cálculo 81" xfId="4051" xr:uid="{00000000-0005-0000-0000-0000D00F0000}"/>
    <cellStyle name="Cálculo 82" xfId="4052" xr:uid="{00000000-0005-0000-0000-0000D10F0000}"/>
    <cellStyle name="Cálculo 83" xfId="4053" xr:uid="{00000000-0005-0000-0000-0000D20F0000}"/>
    <cellStyle name="Cálculo 84" xfId="4054" xr:uid="{00000000-0005-0000-0000-0000D30F0000}"/>
    <cellStyle name="Cálculo 85" xfId="4055" xr:uid="{00000000-0005-0000-0000-0000D40F0000}"/>
    <cellStyle name="Cálculo 86" xfId="4056" xr:uid="{00000000-0005-0000-0000-0000D50F0000}"/>
    <cellStyle name="Cálculo 87" xfId="4057" xr:uid="{00000000-0005-0000-0000-0000D60F0000}"/>
    <cellStyle name="Cálculo 88" xfId="4058" xr:uid="{00000000-0005-0000-0000-0000D70F0000}"/>
    <cellStyle name="Cálculo 89" xfId="4059" xr:uid="{00000000-0005-0000-0000-0000D80F0000}"/>
    <cellStyle name="Cálculo 9" xfId="4060" xr:uid="{00000000-0005-0000-0000-0000D90F0000}"/>
    <cellStyle name="Cálculo 9 2" xfId="4061" xr:uid="{00000000-0005-0000-0000-0000DA0F0000}"/>
    <cellStyle name="Cálculo 9_Estoque Atual" xfId="4062" xr:uid="{00000000-0005-0000-0000-0000DB0F0000}"/>
    <cellStyle name="Cálculo 90" xfId="4063" xr:uid="{00000000-0005-0000-0000-0000DC0F0000}"/>
    <cellStyle name="Cálculo 91" xfId="4064" xr:uid="{00000000-0005-0000-0000-0000DD0F0000}"/>
    <cellStyle name="Cálculo 92" xfId="4065" xr:uid="{00000000-0005-0000-0000-0000DE0F0000}"/>
    <cellStyle name="Cálculo 93" xfId="4066" xr:uid="{00000000-0005-0000-0000-0000DF0F0000}"/>
    <cellStyle name="Cálculo 94" xfId="4067" xr:uid="{00000000-0005-0000-0000-0000E00F0000}"/>
    <cellStyle name="Cálculo 95" xfId="4068" xr:uid="{00000000-0005-0000-0000-0000E10F0000}"/>
    <cellStyle name="Cálculo 96" xfId="4069" xr:uid="{00000000-0005-0000-0000-0000E20F0000}"/>
    <cellStyle name="Cálculo 97" xfId="4070" xr:uid="{00000000-0005-0000-0000-0000E30F0000}"/>
    <cellStyle name="Cálculo 98" xfId="4071" xr:uid="{00000000-0005-0000-0000-0000E40F0000}"/>
    <cellStyle name="Cálculo 99" xfId="4072" xr:uid="{00000000-0005-0000-0000-0000E50F0000}"/>
    <cellStyle name="Célula de Verificação 10" xfId="4073" xr:uid="{00000000-0005-0000-0000-0000E60F0000}"/>
    <cellStyle name="Célula de Verificação 10 2" xfId="4074" xr:uid="{00000000-0005-0000-0000-0000E70F0000}"/>
    <cellStyle name="Célula de Verificação 10 3" xfId="4075" xr:uid="{00000000-0005-0000-0000-0000E80F0000}"/>
    <cellStyle name="Célula de Verificação 10 4" xfId="4076" xr:uid="{00000000-0005-0000-0000-0000E90F0000}"/>
    <cellStyle name="Célula de Verificação 10 5" xfId="4077" xr:uid="{00000000-0005-0000-0000-0000EA0F0000}"/>
    <cellStyle name="Célula de Verificação 10 6" xfId="4078" xr:uid="{00000000-0005-0000-0000-0000EB0F0000}"/>
    <cellStyle name="Célula de Verificação 100" xfId="4079" xr:uid="{00000000-0005-0000-0000-0000EC0F0000}"/>
    <cellStyle name="Célula de Verificação 101" xfId="4080" xr:uid="{00000000-0005-0000-0000-0000ED0F0000}"/>
    <cellStyle name="Célula de Verificação 102" xfId="4081" xr:uid="{00000000-0005-0000-0000-0000EE0F0000}"/>
    <cellStyle name="Célula de Verificação 103" xfId="4082" xr:uid="{00000000-0005-0000-0000-0000EF0F0000}"/>
    <cellStyle name="Célula de Verificação 104" xfId="4083" xr:uid="{00000000-0005-0000-0000-0000F00F0000}"/>
    <cellStyle name="Célula de Verificação 105" xfId="4084" xr:uid="{00000000-0005-0000-0000-0000F10F0000}"/>
    <cellStyle name="Célula de Verificação 106" xfId="4085" xr:uid="{00000000-0005-0000-0000-0000F20F0000}"/>
    <cellStyle name="Célula de Verificação 107" xfId="4086" xr:uid="{00000000-0005-0000-0000-0000F30F0000}"/>
    <cellStyle name="Célula de Verificação 108" xfId="4087" xr:uid="{00000000-0005-0000-0000-0000F40F0000}"/>
    <cellStyle name="Célula de Verificação 109" xfId="4088" xr:uid="{00000000-0005-0000-0000-0000F50F0000}"/>
    <cellStyle name="Célula de Verificação 11" xfId="4089" xr:uid="{00000000-0005-0000-0000-0000F60F0000}"/>
    <cellStyle name="Célula de Verificação 11 2" xfId="4090" xr:uid="{00000000-0005-0000-0000-0000F70F0000}"/>
    <cellStyle name="Célula de Verificação 11 3" xfId="4091" xr:uid="{00000000-0005-0000-0000-0000F80F0000}"/>
    <cellStyle name="Célula de Verificação 11 4" xfId="4092" xr:uid="{00000000-0005-0000-0000-0000F90F0000}"/>
    <cellStyle name="Célula de Verificação 11 5" xfId="4093" xr:uid="{00000000-0005-0000-0000-0000FA0F0000}"/>
    <cellStyle name="Célula de Verificação 11 6" xfId="4094" xr:uid="{00000000-0005-0000-0000-0000FB0F0000}"/>
    <cellStyle name="Célula de Verificação 110" xfId="4095" xr:uid="{00000000-0005-0000-0000-0000FC0F0000}"/>
    <cellStyle name="Célula de Verificação 111" xfId="4096" xr:uid="{00000000-0005-0000-0000-0000FD0F0000}"/>
    <cellStyle name="Célula de Verificação 112" xfId="4097" xr:uid="{00000000-0005-0000-0000-0000FE0F0000}"/>
    <cellStyle name="Célula de Verificação 113" xfId="4098" xr:uid="{00000000-0005-0000-0000-0000FF0F0000}"/>
    <cellStyle name="Célula de Verificação 114" xfId="4099" xr:uid="{00000000-0005-0000-0000-000000100000}"/>
    <cellStyle name="Célula de Verificação 115" xfId="4100" xr:uid="{00000000-0005-0000-0000-000001100000}"/>
    <cellStyle name="Célula de Verificação 116" xfId="4101" xr:uid="{00000000-0005-0000-0000-000002100000}"/>
    <cellStyle name="Célula de Verificação 117" xfId="4102" xr:uid="{00000000-0005-0000-0000-000003100000}"/>
    <cellStyle name="Célula de Verificação 118" xfId="4103" xr:uid="{00000000-0005-0000-0000-000004100000}"/>
    <cellStyle name="Célula de Verificação 119" xfId="4104" xr:uid="{00000000-0005-0000-0000-000005100000}"/>
    <cellStyle name="Célula de Verificação 12" xfId="4105" xr:uid="{00000000-0005-0000-0000-000006100000}"/>
    <cellStyle name="Célula de Verificação 12 2" xfId="4106" xr:uid="{00000000-0005-0000-0000-000007100000}"/>
    <cellStyle name="Célula de Verificação 12 3" xfId="4107" xr:uid="{00000000-0005-0000-0000-000008100000}"/>
    <cellStyle name="Célula de Verificação 12 4" xfId="4108" xr:uid="{00000000-0005-0000-0000-000009100000}"/>
    <cellStyle name="Célula de Verificação 12 5" xfId="4109" xr:uid="{00000000-0005-0000-0000-00000A100000}"/>
    <cellStyle name="Célula de Verificação 12 6" xfId="4110" xr:uid="{00000000-0005-0000-0000-00000B100000}"/>
    <cellStyle name="Célula de Verificação 120" xfId="4111" xr:uid="{00000000-0005-0000-0000-00000C100000}"/>
    <cellStyle name="Célula de Verificação 13" xfId="4112" xr:uid="{00000000-0005-0000-0000-00000D100000}"/>
    <cellStyle name="Célula de Verificação 13 2" xfId="4113" xr:uid="{00000000-0005-0000-0000-00000E100000}"/>
    <cellStyle name="Célula de Verificação 13 3" xfId="4114" xr:uid="{00000000-0005-0000-0000-00000F100000}"/>
    <cellStyle name="Célula de Verificação 13 4" xfId="4115" xr:uid="{00000000-0005-0000-0000-000010100000}"/>
    <cellStyle name="Célula de Verificação 13 5" xfId="4116" xr:uid="{00000000-0005-0000-0000-000011100000}"/>
    <cellStyle name="Célula de Verificação 13 6" xfId="4117" xr:uid="{00000000-0005-0000-0000-000012100000}"/>
    <cellStyle name="Célula de Verificação 14" xfId="4118" xr:uid="{00000000-0005-0000-0000-000013100000}"/>
    <cellStyle name="Célula de Verificação 14 2" xfId="4119" xr:uid="{00000000-0005-0000-0000-000014100000}"/>
    <cellStyle name="Célula de Verificação 14 3" xfId="4120" xr:uid="{00000000-0005-0000-0000-000015100000}"/>
    <cellStyle name="Célula de Verificação 14 4" xfId="4121" xr:uid="{00000000-0005-0000-0000-000016100000}"/>
    <cellStyle name="Célula de Verificação 14 5" xfId="4122" xr:uid="{00000000-0005-0000-0000-000017100000}"/>
    <cellStyle name="Célula de Verificação 14 6" xfId="4123" xr:uid="{00000000-0005-0000-0000-000018100000}"/>
    <cellStyle name="Célula de Verificação 15" xfId="4124" xr:uid="{00000000-0005-0000-0000-000019100000}"/>
    <cellStyle name="Célula de Verificação 15 2" xfId="4125" xr:uid="{00000000-0005-0000-0000-00001A100000}"/>
    <cellStyle name="Célula de Verificação 15 3" xfId="4126" xr:uid="{00000000-0005-0000-0000-00001B100000}"/>
    <cellStyle name="Célula de Verificação 15 4" xfId="4127" xr:uid="{00000000-0005-0000-0000-00001C100000}"/>
    <cellStyle name="Célula de Verificação 15 5" xfId="4128" xr:uid="{00000000-0005-0000-0000-00001D100000}"/>
    <cellStyle name="Célula de Verificação 15 6" xfId="4129" xr:uid="{00000000-0005-0000-0000-00001E100000}"/>
    <cellStyle name="Célula de Verificação 16" xfId="4130" xr:uid="{00000000-0005-0000-0000-00001F100000}"/>
    <cellStyle name="Célula de Verificação 16 2" xfId="4131" xr:uid="{00000000-0005-0000-0000-000020100000}"/>
    <cellStyle name="Célula de Verificação 16 3" xfId="4132" xr:uid="{00000000-0005-0000-0000-000021100000}"/>
    <cellStyle name="Célula de Verificação 16 4" xfId="4133" xr:uid="{00000000-0005-0000-0000-000022100000}"/>
    <cellStyle name="Célula de Verificação 16 5" xfId="4134" xr:uid="{00000000-0005-0000-0000-000023100000}"/>
    <cellStyle name="Célula de Verificação 16 6" xfId="4135" xr:uid="{00000000-0005-0000-0000-000024100000}"/>
    <cellStyle name="Célula de Verificação 17" xfId="4136" xr:uid="{00000000-0005-0000-0000-000025100000}"/>
    <cellStyle name="Célula de Verificação 17 2" xfId="4137" xr:uid="{00000000-0005-0000-0000-000026100000}"/>
    <cellStyle name="Célula de Verificação 17 3" xfId="4138" xr:uid="{00000000-0005-0000-0000-000027100000}"/>
    <cellStyle name="Célula de Verificação 17 4" xfId="4139" xr:uid="{00000000-0005-0000-0000-000028100000}"/>
    <cellStyle name="Célula de Verificação 17 5" xfId="4140" xr:uid="{00000000-0005-0000-0000-000029100000}"/>
    <cellStyle name="Célula de Verificação 17 6" xfId="4141" xr:uid="{00000000-0005-0000-0000-00002A100000}"/>
    <cellStyle name="Célula de Verificação 18" xfId="4142" xr:uid="{00000000-0005-0000-0000-00002B100000}"/>
    <cellStyle name="Célula de Verificação 18 2" xfId="4143" xr:uid="{00000000-0005-0000-0000-00002C100000}"/>
    <cellStyle name="Célula de Verificação 18 3" xfId="4144" xr:uid="{00000000-0005-0000-0000-00002D100000}"/>
    <cellStyle name="Célula de Verificação 18 4" xfId="4145" xr:uid="{00000000-0005-0000-0000-00002E100000}"/>
    <cellStyle name="Célula de Verificação 18 5" xfId="4146" xr:uid="{00000000-0005-0000-0000-00002F100000}"/>
    <cellStyle name="Célula de Verificação 18 6" xfId="4147" xr:uid="{00000000-0005-0000-0000-000030100000}"/>
    <cellStyle name="Célula de Verificação 19" xfId="4148" xr:uid="{00000000-0005-0000-0000-000031100000}"/>
    <cellStyle name="Célula de Verificação 19 2" xfId="4149" xr:uid="{00000000-0005-0000-0000-000032100000}"/>
    <cellStyle name="Célula de Verificação 19 3" xfId="4150" xr:uid="{00000000-0005-0000-0000-000033100000}"/>
    <cellStyle name="Célula de Verificação 19 4" xfId="4151" xr:uid="{00000000-0005-0000-0000-000034100000}"/>
    <cellStyle name="Célula de Verificação 19 5" xfId="4152" xr:uid="{00000000-0005-0000-0000-000035100000}"/>
    <cellStyle name="Célula de Verificação 19 6" xfId="4153" xr:uid="{00000000-0005-0000-0000-000036100000}"/>
    <cellStyle name="Célula de Verificação 2" xfId="4154" xr:uid="{00000000-0005-0000-0000-000037100000}"/>
    <cellStyle name="Célula de Verificação 2 2" xfId="4155" xr:uid="{00000000-0005-0000-0000-000038100000}"/>
    <cellStyle name="Célula de Verificação 2 2 2" xfId="4156" xr:uid="{00000000-0005-0000-0000-000039100000}"/>
    <cellStyle name="Célula de Verificação 2 2 2 2" xfId="4157" xr:uid="{00000000-0005-0000-0000-00003A100000}"/>
    <cellStyle name="Célula de Verificação 2 2 2 2 2" xfId="4158" xr:uid="{00000000-0005-0000-0000-00003B100000}"/>
    <cellStyle name="Célula de Verificação 2 2 2 2 2 2" xfId="4159" xr:uid="{00000000-0005-0000-0000-00003C100000}"/>
    <cellStyle name="Célula de Verificação 2 2 2 2 2 2 2" xfId="4160" xr:uid="{00000000-0005-0000-0000-00003D100000}"/>
    <cellStyle name="Célula de Verificação 2 2 2 2 2 3" xfId="4161" xr:uid="{00000000-0005-0000-0000-00003E100000}"/>
    <cellStyle name="Célula de Verificação 2 2 2 2 3" xfId="4162" xr:uid="{00000000-0005-0000-0000-00003F100000}"/>
    <cellStyle name="Célula de Verificação 2 2 2 2 3 2" xfId="4163" xr:uid="{00000000-0005-0000-0000-000040100000}"/>
    <cellStyle name="Célula de Verificação 2 2 2 3" xfId="4164" xr:uid="{00000000-0005-0000-0000-000041100000}"/>
    <cellStyle name="Célula de Verificação 2 2 2 3 2" xfId="4165" xr:uid="{00000000-0005-0000-0000-000042100000}"/>
    <cellStyle name="Célula de Verificação 2 2 3" xfId="4166" xr:uid="{00000000-0005-0000-0000-000043100000}"/>
    <cellStyle name="Célula de Verificação 2 2 4" xfId="4167" xr:uid="{00000000-0005-0000-0000-000044100000}"/>
    <cellStyle name="Célula de Verificação 2 2 5" xfId="4168" xr:uid="{00000000-0005-0000-0000-000045100000}"/>
    <cellStyle name="Célula de Verificação 2 2 5 2" xfId="4169" xr:uid="{00000000-0005-0000-0000-000046100000}"/>
    <cellStyle name="Célula de Verificação 2 2_BD" xfId="4170" xr:uid="{00000000-0005-0000-0000-000047100000}"/>
    <cellStyle name="Célula de Verificação 2 3" xfId="4171" xr:uid="{00000000-0005-0000-0000-000048100000}"/>
    <cellStyle name="Célula de Verificação 2 4" xfId="4172" xr:uid="{00000000-0005-0000-0000-000049100000}"/>
    <cellStyle name="Célula de Verificação 2 5" xfId="4173" xr:uid="{00000000-0005-0000-0000-00004A100000}"/>
    <cellStyle name="Célula de Verificação 2 6" xfId="4174" xr:uid="{00000000-0005-0000-0000-00004B100000}"/>
    <cellStyle name="Célula de Verificação 2 6 2" xfId="4175" xr:uid="{00000000-0005-0000-0000-00004C100000}"/>
    <cellStyle name="Célula de Verificação 2_BD" xfId="4176" xr:uid="{00000000-0005-0000-0000-00004D100000}"/>
    <cellStyle name="Célula de Verificação 20" xfId="4177" xr:uid="{00000000-0005-0000-0000-00004E100000}"/>
    <cellStyle name="Célula de Verificação 20 2" xfId="4178" xr:uid="{00000000-0005-0000-0000-00004F100000}"/>
    <cellStyle name="Célula de Verificação 20 3" xfId="4179" xr:uid="{00000000-0005-0000-0000-000050100000}"/>
    <cellStyle name="Célula de Verificação 20 4" xfId="4180" xr:uid="{00000000-0005-0000-0000-000051100000}"/>
    <cellStyle name="Célula de Verificação 20 5" xfId="4181" xr:uid="{00000000-0005-0000-0000-000052100000}"/>
    <cellStyle name="Célula de Verificação 20 6" xfId="4182" xr:uid="{00000000-0005-0000-0000-000053100000}"/>
    <cellStyle name="Célula de Verificação 21" xfId="4183" xr:uid="{00000000-0005-0000-0000-000054100000}"/>
    <cellStyle name="Célula de Verificação 21 2" xfId="4184" xr:uid="{00000000-0005-0000-0000-000055100000}"/>
    <cellStyle name="Célula de Verificação 21 3" xfId="4185" xr:uid="{00000000-0005-0000-0000-000056100000}"/>
    <cellStyle name="Célula de Verificação 21 4" xfId="4186" xr:uid="{00000000-0005-0000-0000-000057100000}"/>
    <cellStyle name="Célula de Verificação 21 5" xfId="4187" xr:uid="{00000000-0005-0000-0000-000058100000}"/>
    <cellStyle name="Célula de Verificação 21 6" xfId="4188" xr:uid="{00000000-0005-0000-0000-000059100000}"/>
    <cellStyle name="Célula de Verificação 22" xfId="4189" xr:uid="{00000000-0005-0000-0000-00005A100000}"/>
    <cellStyle name="Célula de Verificação 22 2" xfId="4190" xr:uid="{00000000-0005-0000-0000-00005B100000}"/>
    <cellStyle name="Célula de Verificação 22 3" xfId="4191" xr:uid="{00000000-0005-0000-0000-00005C100000}"/>
    <cellStyle name="Célula de Verificação 22 4" xfId="4192" xr:uid="{00000000-0005-0000-0000-00005D100000}"/>
    <cellStyle name="Célula de Verificação 22 5" xfId="4193" xr:uid="{00000000-0005-0000-0000-00005E100000}"/>
    <cellStyle name="Célula de Verificação 22 6" xfId="4194" xr:uid="{00000000-0005-0000-0000-00005F100000}"/>
    <cellStyle name="Célula de Verificação 23" xfId="4195" xr:uid="{00000000-0005-0000-0000-000060100000}"/>
    <cellStyle name="Célula de Verificação 23 2" xfId="4196" xr:uid="{00000000-0005-0000-0000-000061100000}"/>
    <cellStyle name="Célula de Verificação 23 3" xfId="4197" xr:uid="{00000000-0005-0000-0000-000062100000}"/>
    <cellStyle name="Célula de Verificação 23 4" xfId="4198" xr:uid="{00000000-0005-0000-0000-000063100000}"/>
    <cellStyle name="Célula de Verificação 23 5" xfId="4199" xr:uid="{00000000-0005-0000-0000-000064100000}"/>
    <cellStyle name="Célula de Verificação 23 6" xfId="4200" xr:uid="{00000000-0005-0000-0000-000065100000}"/>
    <cellStyle name="Célula de Verificação 24" xfId="4201" xr:uid="{00000000-0005-0000-0000-000066100000}"/>
    <cellStyle name="Célula de Verificação 24 2" xfId="4202" xr:uid="{00000000-0005-0000-0000-000067100000}"/>
    <cellStyle name="Célula de Verificação 24 3" xfId="4203" xr:uid="{00000000-0005-0000-0000-000068100000}"/>
    <cellStyle name="Célula de Verificação 24 4" xfId="4204" xr:uid="{00000000-0005-0000-0000-000069100000}"/>
    <cellStyle name="Célula de Verificação 24 5" xfId="4205" xr:uid="{00000000-0005-0000-0000-00006A100000}"/>
    <cellStyle name="Célula de Verificação 24 6" xfId="4206" xr:uid="{00000000-0005-0000-0000-00006B100000}"/>
    <cellStyle name="Célula de Verificação 25" xfId="4207" xr:uid="{00000000-0005-0000-0000-00006C100000}"/>
    <cellStyle name="Célula de Verificação 25 2" xfId="4208" xr:uid="{00000000-0005-0000-0000-00006D100000}"/>
    <cellStyle name="Célula de Verificação 25 3" xfId="4209" xr:uid="{00000000-0005-0000-0000-00006E100000}"/>
    <cellStyle name="Célula de Verificação 25 4" xfId="4210" xr:uid="{00000000-0005-0000-0000-00006F100000}"/>
    <cellStyle name="Célula de Verificação 25 5" xfId="4211" xr:uid="{00000000-0005-0000-0000-000070100000}"/>
    <cellStyle name="Célula de Verificação 25 6" xfId="4212" xr:uid="{00000000-0005-0000-0000-000071100000}"/>
    <cellStyle name="Célula de Verificação 26" xfId="4213" xr:uid="{00000000-0005-0000-0000-000072100000}"/>
    <cellStyle name="Célula de Verificação 26 2" xfId="4214" xr:uid="{00000000-0005-0000-0000-000073100000}"/>
    <cellStyle name="Célula de Verificação 26 3" xfId="4215" xr:uid="{00000000-0005-0000-0000-000074100000}"/>
    <cellStyle name="Célula de Verificação 26 4" xfId="4216" xr:uid="{00000000-0005-0000-0000-000075100000}"/>
    <cellStyle name="Célula de Verificação 26 5" xfId="4217" xr:uid="{00000000-0005-0000-0000-000076100000}"/>
    <cellStyle name="Célula de Verificação 26 6" xfId="4218" xr:uid="{00000000-0005-0000-0000-000077100000}"/>
    <cellStyle name="Célula de Verificação 27" xfId="4219" xr:uid="{00000000-0005-0000-0000-000078100000}"/>
    <cellStyle name="Célula de Verificação 27 2" xfId="4220" xr:uid="{00000000-0005-0000-0000-000079100000}"/>
    <cellStyle name="Célula de Verificação 27 3" xfId="4221" xr:uid="{00000000-0005-0000-0000-00007A100000}"/>
    <cellStyle name="Célula de Verificação 27 4" xfId="4222" xr:uid="{00000000-0005-0000-0000-00007B100000}"/>
    <cellStyle name="Célula de Verificação 27 5" xfId="4223" xr:uid="{00000000-0005-0000-0000-00007C100000}"/>
    <cellStyle name="Célula de Verificação 27 6" xfId="4224" xr:uid="{00000000-0005-0000-0000-00007D100000}"/>
    <cellStyle name="Célula de Verificação 28" xfId="4225" xr:uid="{00000000-0005-0000-0000-00007E100000}"/>
    <cellStyle name="Célula de Verificação 28 2" xfId="4226" xr:uid="{00000000-0005-0000-0000-00007F100000}"/>
    <cellStyle name="Célula de Verificação 28 3" xfId="4227" xr:uid="{00000000-0005-0000-0000-000080100000}"/>
    <cellStyle name="Célula de Verificação 28 4" xfId="4228" xr:uid="{00000000-0005-0000-0000-000081100000}"/>
    <cellStyle name="Célula de Verificação 28 5" xfId="4229" xr:uid="{00000000-0005-0000-0000-000082100000}"/>
    <cellStyle name="Célula de Verificação 28 6" xfId="4230" xr:uid="{00000000-0005-0000-0000-000083100000}"/>
    <cellStyle name="Célula de Verificação 29" xfId="4231" xr:uid="{00000000-0005-0000-0000-000084100000}"/>
    <cellStyle name="Célula de Verificação 29 2" xfId="4232" xr:uid="{00000000-0005-0000-0000-000085100000}"/>
    <cellStyle name="Célula de Verificação 29 3" xfId="4233" xr:uid="{00000000-0005-0000-0000-000086100000}"/>
    <cellStyle name="Célula de Verificação 29 4" xfId="4234" xr:uid="{00000000-0005-0000-0000-000087100000}"/>
    <cellStyle name="Célula de Verificação 29 5" xfId="4235" xr:uid="{00000000-0005-0000-0000-000088100000}"/>
    <cellStyle name="Célula de Verificação 29 6" xfId="4236" xr:uid="{00000000-0005-0000-0000-000089100000}"/>
    <cellStyle name="Célula de Verificação 3" xfId="4237" xr:uid="{00000000-0005-0000-0000-00008A100000}"/>
    <cellStyle name="Célula de Verificação 3 2" xfId="4238" xr:uid="{00000000-0005-0000-0000-00008B100000}"/>
    <cellStyle name="Célula de Verificação 3 2 2" xfId="4239" xr:uid="{00000000-0005-0000-0000-00008C100000}"/>
    <cellStyle name="Célula de Verificação 3 2_Estoque Atual" xfId="4240" xr:uid="{00000000-0005-0000-0000-00008D100000}"/>
    <cellStyle name="Célula de Verificação 3 3" xfId="4241" xr:uid="{00000000-0005-0000-0000-00008E100000}"/>
    <cellStyle name="Célula de Verificação 3 4" xfId="4242" xr:uid="{00000000-0005-0000-0000-00008F100000}"/>
    <cellStyle name="Célula de Verificação 3 5" xfId="4243" xr:uid="{00000000-0005-0000-0000-000090100000}"/>
    <cellStyle name="Célula de Verificação 3 6" xfId="4244" xr:uid="{00000000-0005-0000-0000-000091100000}"/>
    <cellStyle name="Célula de Verificação 30" xfId="4245" xr:uid="{00000000-0005-0000-0000-000092100000}"/>
    <cellStyle name="Célula de Verificação 31" xfId="4246" xr:uid="{00000000-0005-0000-0000-000093100000}"/>
    <cellStyle name="Célula de Verificação 32" xfId="4247" xr:uid="{00000000-0005-0000-0000-000094100000}"/>
    <cellStyle name="Célula de Verificação 33" xfId="4248" xr:uid="{00000000-0005-0000-0000-000095100000}"/>
    <cellStyle name="Célula de Verificação 34" xfId="4249" xr:uid="{00000000-0005-0000-0000-000096100000}"/>
    <cellStyle name="Célula de Verificação 35" xfId="4250" xr:uid="{00000000-0005-0000-0000-000097100000}"/>
    <cellStyle name="Célula de Verificação 35 2" xfId="4251" xr:uid="{00000000-0005-0000-0000-000098100000}"/>
    <cellStyle name="Célula de Verificação 35 3" xfId="4252" xr:uid="{00000000-0005-0000-0000-000099100000}"/>
    <cellStyle name="Célula de Verificação 35 4" xfId="4253" xr:uid="{00000000-0005-0000-0000-00009A100000}"/>
    <cellStyle name="Célula de Verificação 35 5" xfId="4254" xr:uid="{00000000-0005-0000-0000-00009B100000}"/>
    <cellStyle name="Célula de Verificação 35 6" xfId="4255" xr:uid="{00000000-0005-0000-0000-00009C100000}"/>
    <cellStyle name="Célula de Verificação 36" xfId="4256" xr:uid="{00000000-0005-0000-0000-00009D100000}"/>
    <cellStyle name="Célula de Verificação 37" xfId="4257" xr:uid="{00000000-0005-0000-0000-00009E100000}"/>
    <cellStyle name="Célula de Verificação 38" xfId="4258" xr:uid="{00000000-0005-0000-0000-00009F100000}"/>
    <cellStyle name="Célula de Verificação 39" xfId="4259" xr:uid="{00000000-0005-0000-0000-0000A0100000}"/>
    <cellStyle name="Célula de Verificação 4" xfId="4260" xr:uid="{00000000-0005-0000-0000-0000A1100000}"/>
    <cellStyle name="Célula de Verificação 4 2" xfId="4261" xr:uid="{00000000-0005-0000-0000-0000A2100000}"/>
    <cellStyle name="Célula de Verificação 4 3" xfId="4262" xr:uid="{00000000-0005-0000-0000-0000A3100000}"/>
    <cellStyle name="Célula de Verificação 4 4" xfId="4263" xr:uid="{00000000-0005-0000-0000-0000A4100000}"/>
    <cellStyle name="Célula de Verificação 4 5" xfId="4264" xr:uid="{00000000-0005-0000-0000-0000A5100000}"/>
    <cellStyle name="Célula de Verificação 4 6" xfId="4265" xr:uid="{00000000-0005-0000-0000-0000A6100000}"/>
    <cellStyle name="Célula de Verificação 40" xfId="4266" xr:uid="{00000000-0005-0000-0000-0000A7100000}"/>
    <cellStyle name="Célula de Verificação 41" xfId="4267" xr:uid="{00000000-0005-0000-0000-0000A8100000}"/>
    <cellStyle name="Célula de Verificação 42" xfId="4268" xr:uid="{00000000-0005-0000-0000-0000A9100000}"/>
    <cellStyle name="Célula de Verificação 43" xfId="4269" xr:uid="{00000000-0005-0000-0000-0000AA100000}"/>
    <cellStyle name="Célula de Verificação 44" xfId="4270" xr:uid="{00000000-0005-0000-0000-0000AB100000}"/>
    <cellStyle name="Célula de Verificação 45" xfId="4271" xr:uid="{00000000-0005-0000-0000-0000AC100000}"/>
    <cellStyle name="Célula de Verificação 46" xfId="4272" xr:uid="{00000000-0005-0000-0000-0000AD100000}"/>
    <cellStyle name="Célula de Verificação 47" xfId="4273" xr:uid="{00000000-0005-0000-0000-0000AE100000}"/>
    <cellStyle name="Célula de Verificação 48" xfId="4274" xr:uid="{00000000-0005-0000-0000-0000AF100000}"/>
    <cellStyle name="Célula de Verificação 49" xfId="4275" xr:uid="{00000000-0005-0000-0000-0000B0100000}"/>
    <cellStyle name="Célula de Verificação 5" xfId="4276" xr:uid="{00000000-0005-0000-0000-0000B1100000}"/>
    <cellStyle name="Célula de Verificação 5 2" xfId="4277" xr:uid="{00000000-0005-0000-0000-0000B2100000}"/>
    <cellStyle name="Célula de Verificação 5 3" xfId="4278" xr:uid="{00000000-0005-0000-0000-0000B3100000}"/>
    <cellStyle name="Célula de Verificação 5 4" xfId="4279" xr:uid="{00000000-0005-0000-0000-0000B4100000}"/>
    <cellStyle name="Célula de Verificação 5 5" xfId="4280" xr:uid="{00000000-0005-0000-0000-0000B5100000}"/>
    <cellStyle name="Célula de Verificação 5 6" xfId="4281" xr:uid="{00000000-0005-0000-0000-0000B6100000}"/>
    <cellStyle name="Célula de Verificação 50" xfId="4282" xr:uid="{00000000-0005-0000-0000-0000B7100000}"/>
    <cellStyle name="Célula de Verificação 51" xfId="4283" xr:uid="{00000000-0005-0000-0000-0000B8100000}"/>
    <cellStyle name="Célula de Verificação 52" xfId="4284" xr:uid="{00000000-0005-0000-0000-0000B9100000}"/>
    <cellStyle name="Célula de Verificação 53" xfId="4285" xr:uid="{00000000-0005-0000-0000-0000BA100000}"/>
    <cellStyle name="Célula de Verificação 54" xfId="4286" xr:uid="{00000000-0005-0000-0000-0000BB100000}"/>
    <cellStyle name="Célula de Verificação 55" xfId="4287" xr:uid="{00000000-0005-0000-0000-0000BC100000}"/>
    <cellStyle name="Célula de Verificação 56" xfId="4288" xr:uid="{00000000-0005-0000-0000-0000BD100000}"/>
    <cellStyle name="Célula de Verificação 57" xfId="4289" xr:uid="{00000000-0005-0000-0000-0000BE100000}"/>
    <cellStyle name="Célula de Verificação 58" xfId="4290" xr:uid="{00000000-0005-0000-0000-0000BF100000}"/>
    <cellStyle name="Célula de Verificação 59" xfId="4291" xr:uid="{00000000-0005-0000-0000-0000C0100000}"/>
    <cellStyle name="Célula de Verificação 6" xfId="4292" xr:uid="{00000000-0005-0000-0000-0000C1100000}"/>
    <cellStyle name="Célula de Verificação 6 2" xfId="4293" xr:uid="{00000000-0005-0000-0000-0000C2100000}"/>
    <cellStyle name="Célula de Verificação 6 3" xfId="4294" xr:uid="{00000000-0005-0000-0000-0000C3100000}"/>
    <cellStyle name="Célula de Verificação 6 4" xfId="4295" xr:uid="{00000000-0005-0000-0000-0000C4100000}"/>
    <cellStyle name="Célula de Verificação 6 5" xfId="4296" xr:uid="{00000000-0005-0000-0000-0000C5100000}"/>
    <cellStyle name="Célula de Verificação 6 6" xfId="4297" xr:uid="{00000000-0005-0000-0000-0000C6100000}"/>
    <cellStyle name="Célula de Verificação 60" xfId="4298" xr:uid="{00000000-0005-0000-0000-0000C7100000}"/>
    <cellStyle name="Célula de Verificação 61" xfId="4299" xr:uid="{00000000-0005-0000-0000-0000C8100000}"/>
    <cellStyle name="Célula de Verificação 62" xfId="4300" xr:uid="{00000000-0005-0000-0000-0000C9100000}"/>
    <cellStyle name="Célula de Verificação 63" xfId="4301" xr:uid="{00000000-0005-0000-0000-0000CA100000}"/>
    <cellStyle name="Célula de Verificação 64" xfId="4302" xr:uid="{00000000-0005-0000-0000-0000CB100000}"/>
    <cellStyle name="Célula de Verificação 65" xfId="4303" xr:uid="{00000000-0005-0000-0000-0000CC100000}"/>
    <cellStyle name="Célula de Verificação 66" xfId="4304" xr:uid="{00000000-0005-0000-0000-0000CD100000}"/>
    <cellStyle name="Célula de Verificação 67" xfId="4305" xr:uid="{00000000-0005-0000-0000-0000CE100000}"/>
    <cellStyle name="Célula de Verificação 68" xfId="4306" xr:uid="{00000000-0005-0000-0000-0000CF100000}"/>
    <cellStyle name="Célula de Verificação 69" xfId="4307" xr:uid="{00000000-0005-0000-0000-0000D0100000}"/>
    <cellStyle name="Célula de Verificação 7" xfId="4308" xr:uid="{00000000-0005-0000-0000-0000D1100000}"/>
    <cellStyle name="Célula de Verificação 7 2" xfId="4309" xr:uid="{00000000-0005-0000-0000-0000D2100000}"/>
    <cellStyle name="Célula de Verificação 7 3" xfId="4310" xr:uid="{00000000-0005-0000-0000-0000D3100000}"/>
    <cellStyle name="Célula de Verificação 7 4" xfId="4311" xr:uid="{00000000-0005-0000-0000-0000D4100000}"/>
    <cellStyle name="Célula de Verificação 7 5" xfId="4312" xr:uid="{00000000-0005-0000-0000-0000D5100000}"/>
    <cellStyle name="Célula de Verificação 7 6" xfId="4313" xr:uid="{00000000-0005-0000-0000-0000D6100000}"/>
    <cellStyle name="Célula de Verificação 70" xfId="4314" xr:uid="{00000000-0005-0000-0000-0000D7100000}"/>
    <cellStyle name="Célula de Verificação 71" xfId="4315" xr:uid="{00000000-0005-0000-0000-0000D8100000}"/>
    <cellStyle name="Célula de Verificação 72" xfId="4316" xr:uid="{00000000-0005-0000-0000-0000D9100000}"/>
    <cellStyle name="Célula de Verificação 73" xfId="4317" xr:uid="{00000000-0005-0000-0000-0000DA100000}"/>
    <cellStyle name="Célula de Verificação 74" xfId="4318" xr:uid="{00000000-0005-0000-0000-0000DB100000}"/>
    <cellStyle name="Célula de Verificação 75" xfId="4319" xr:uid="{00000000-0005-0000-0000-0000DC100000}"/>
    <cellStyle name="Célula de Verificação 76" xfId="4320" xr:uid="{00000000-0005-0000-0000-0000DD100000}"/>
    <cellStyle name="Célula de Verificação 77" xfId="4321" xr:uid="{00000000-0005-0000-0000-0000DE100000}"/>
    <cellStyle name="Célula de Verificação 78" xfId="4322" xr:uid="{00000000-0005-0000-0000-0000DF100000}"/>
    <cellStyle name="Célula de Verificação 79" xfId="4323" xr:uid="{00000000-0005-0000-0000-0000E0100000}"/>
    <cellStyle name="Célula de Verificação 8" xfId="4324" xr:uid="{00000000-0005-0000-0000-0000E1100000}"/>
    <cellStyle name="Célula de Verificação 8 2" xfId="4325" xr:uid="{00000000-0005-0000-0000-0000E2100000}"/>
    <cellStyle name="Célula de Verificação 8 3" xfId="4326" xr:uid="{00000000-0005-0000-0000-0000E3100000}"/>
    <cellStyle name="Célula de Verificação 8 4" xfId="4327" xr:uid="{00000000-0005-0000-0000-0000E4100000}"/>
    <cellStyle name="Célula de Verificação 8 5" xfId="4328" xr:uid="{00000000-0005-0000-0000-0000E5100000}"/>
    <cellStyle name="Célula de Verificação 8 6" xfId="4329" xr:uid="{00000000-0005-0000-0000-0000E6100000}"/>
    <cellStyle name="Célula de Verificação 80" xfId="4330" xr:uid="{00000000-0005-0000-0000-0000E7100000}"/>
    <cellStyle name="Célula de Verificação 81" xfId="4331" xr:uid="{00000000-0005-0000-0000-0000E8100000}"/>
    <cellStyle name="Célula de Verificação 82" xfId="4332" xr:uid="{00000000-0005-0000-0000-0000E9100000}"/>
    <cellStyle name="Célula de Verificação 83" xfId="4333" xr:uid="{00000000-0005-0000-0000-0000EA100000}"/>
    <cellStyle name="Célula de Verificação 84" xfId="4334" xr:uid="{00000000-0005-0000-0000-0000EB100000}"/>
    <cellStyle name="Célula de Verificação 85" xfId="4335" xr:uid="{00000000-0005-0000-0000-0000EC100000}"/>
    <cellStyle name="Célula de Verificação 86" xfId="4336" xr:uid="{00000000-0005-0000-0000-0000ED100000}"/>
    <cellStyle name="Célula de Verificação 87" xfId="4337" xr:uid="{00000000-0005-0000-0000-0000EE100000}"/>
    <cellStyle name="Célula de Verificação 88" xfId="4338" xr:uid="{00000000-0005-0000-0000-0000EF100000}"/>
    <cellStyle name="Célula de Verificação 89" xfId="4339" xr:uid="{00000000-0005-0000-0000-0000F0100000}"/>
    <cellStyle name="Célula de Verificação 9" xfId="4340" xr:uid="{00000000-0005-0000-0000-0000F1100000}"/>
    <cellStyle name="Célula de Verificação 9 2" xfId="4341" xr:uid="{00000000-0005-0000-0000-0000F2100000}"/>
    <cellStyle name="Célula de Verificação 9 3" xfId="4342" xr:uid="{00000000-0005-0000-0000-0000F3100000}"/>
    <cellStyle name="Célula de Verificação 9 4" xfId="4343" xr:uid="{00000000-0005-0000-0000-0000F4100000}"/>
    <cellStyle name="Célula de Verificação 9 5" xfId="4344" xr:uid="{00000000-0005-0000-0000-0000F5100000}"/>
    <cellStyle name="Célula de Verificação 9 6" xfId="4345" xr:uid="{00000000-0005-0000-0000-0000F6100000}"/>
    <cellStyle name="Célula de Verificação 90" xfId="4346" xr:uid="{00000000-0005-0000-0000-0000F7100000}"/>
    <cellStyle name="Célula de Verificação 91" xfId="4347" xr:uid="{00000000-0005-0000-0000-0000F8100000}"/>
    <cellStyle name="Célula de Verificação 92" xfId="4348" xr:uid="{00000000-0005-0000-0000-0000F9100000}"/>
    <cellStyle name="Célula de Verificação 93" xfId="4349" xr:uid="{00000000-0005-0000-0000-0000FA100000}"/>
    <cellStyle name="Célula de Verificação 94" xfId="4350" xr:uid="{00000000-0005-0000-0000-0000FB100000}"/>
    <cellStyle name="Célula de Verificação 95" xfId="4351" xr:uid="{00000000-0005-0000-0000-0000FC100000}"/>
    <cellStyle name="Célula de Verificação 96" xfId="4352" xr:uid="{00000000-0005-0000-0000-0000FD100000}"/>
    <cellStyle name="Célula de Verificação 97" xfId="4353" xr:uid="{00000000-0005-0000-0000-0000FE100000}"/>
    <cellStyle name="Célula de Verificação 98" xfId="4354" xr:uid="{00000000-0005-0000-0000-0000FF100000}"/>
    <cellStyle name="Célula de Verificação 99" xfId="4355" xr:uid="{00000000-0005-0000-0000-000000110000}"/>
    <cellStyle name="Célula Vinculada 10" xfId="4356" xr:uid="{00000000-0005-0000-0000-000001110000}"/>
    <cellStyle name="Célula Vinculada 100" xfId="4357" xr:uid="{00000000-0005-0000-0000-000002110000}"/>
    <cellStyle name="Célula Vinculada 101" xfId="4358" xr:uid="{00000000-0005-0000-0000-000003110000}"/>
    <cellStyle name="Célula Vinculada 102" xfId="4359" xr:uid="{00000000-0005-0000-0000-000004110000}"/>
    <cellStyle name="Célula Vinculada 103" xfId="4360" xr:uid="{00000000-0005-0000-0000-000005110000}"/>
    <cellStyle name="Célula Vinculada 104" xfId="4361" xr:uid="{00000000-0005-0000-0000-000006110000}"/>
    <cellStyle name="Célula Vinculada 105" xfId="4362" xr:uid="{00000000-0005-0000-0000-000007110000}"/>
    <cellStyle name="Célula Vinculada 106" xfId="4363" xr:uid="{00000000-0005-0000-0000-000008110000}"/>
    <cellStyle name="Célula Vinculada 107" xfId="4364" xr:uid="{00000000-0005-0000-0000-000009110000}"/>
    <cellStyle name="Célula Vinculada 108" xfId="4365" xr:uid="{00000000-0005-0000-0000-00000A110000}"/>
    <cellStyle name="Célula Vinculada 109" xfId="4366" xr:uid="{00000000-0005-0000-0000-00000B110000}"/>
    <cellStyle name="Célula Vinculada 11" xfId="4367" xr:uid="{00000000-0005-0000-0000-00000C110000}"/>
    <cellStyle name="Célula Vinculada 110" xfId="4368" xr:uid="{00000000-0005-0000-0000-00000D110000}"/>
    <cellStyle name="Célula Vinculada 111" xfId="4369" xr:uid="{00000000-0005-0000-0000-00000E110000}"/>
    <cellStyle name="Célula Vinculada 112" xfId="4370" xr:uid="{00000000-0005-0000-0000-00000F110000}"/>
    <cellStyle name="Célula Vinculada 113" xfId="4371" xr:uid="{00000000-0005-0000-0000-000010110000}"/>
    <cellStyle name="Célula Vinculada 114" xfId="4372" xr:uid="{00000000-0005-0000-0000-000011110000}"/>
    <cellStyle name="Célula Vinculada 115" xfId="4373" xr:uid="{00000000-0005-0000-0000-000012110000}"/>
    <cellStyle name="Célula Vinculada 116" xfId="4374" xr:uid="{00000000-0005-0000-0000-000013110000}"/>
    <cellStyle name="Célula Vinculada 117" xfId="4375" xr:uid="{00000000-0005-0000-0000-000014110000}"/>
    <cellStyle name="Célula Vinculada 118" xfId="4376" xr:uid="{00000000-0005-0000-0000-000015110000}"/>
    <cellStyle name="Célula Vinculada 119" xfId="4377" xr:uid="{00000000-0005-0000-0000-000016110000}"/>
    <cellStyle name="Célula Vinculada 12" xfId="4378" xr:uid="{00000000-0005-0000-0000-000017110000}"/>
    <cellStyle name="Célula Vinculada 120" xfId="4379" xr:uid="{00000000-0005-0000-0000-000018110000}"/>
    <cellStyle name="Célula Vinculada 13" xfId="4380" xr:uid="{00000000-0005-0000-0000-000019110000}"/>
    <cellStyle name="Célula Vinculada 14" xfId="4381" xr:uid="{00000000-0005-0000-0000-00001A110000}"/>
    <cellStyle name="Célula Vinculada 15" xfId="4382" xr:uid="{00000000-0005-0000-0000-00001B110000}"/>
    <cellStyle name="Célula Vinculada 16" xfId="4383" xr:uid="{00000000-0005-0000-0000-00001C110000}"/>
    <cellStyle name="Célula Vinculada 17" xfId="4384" xr:uid="{00000000-0005-0000-0000-00001D110000}"/>
    <cellStyle name="Célula Vinculada 18" xfId="4385" xr:uid="{00000000-0005-0000-0000-00001E110000}"/>
    <cellStyle name="Célula Vinculada 19" xfId="4386" xr:uid="{00000000-0005-0000-0000-00001F110000}"/>
    <cellStyle name="Célula Vinculada 2" xfId="4387" xr:uid="{00000000-0005-0000-0000-000020110000}"/>
    <cellStyle name="Célula Vinculada 2 2" xfId="4388" xr:uid="{00000000-0005-0000-0000-000021110000}"/>
    <cellStyle name="Célula Vinculada 2 2 2" xfId="4389" xr:uid="{00000000-0005-0000-0000-000022110000}"/>
    <cellStyle name="Célula Vinculada 2 2 2 2" xfId="4390" xr:uid="{00000000-0005-0000-0000-000023110000}"/>
    <cellStyle name="Célula Vinculada 2 2 2 2 2" xfId="4391" xr:uid="{00000000-0005-0000-0000-000024110000}"/>
    <cellStyle name="Célula Vinculada 2 2 2 2 2 2" xfId="4392" xr:uid="{00000000-0005-0000-0000-000025110000}"/>
    <cellStyle name="Célula Vinculada 2 2 2 2 2 2 2" xfId="4393" xr:uid="{00000000-0005-0000-0000-000026110000}"/>
    <cellStyle name="Célula Vinculada 2 2 2 2 2 3" xfId="4394" xr:uid="{00000000-0005-0000-0000-000027110000}"/>
    <cellStyle name="Célula Vinculada 2 2 2 2 3" xfId="4395" xr:uid="{00000000-0005-0000-0000-000028110000}"/>
    <cellStyle name="Célula Vinculada 2 2 2 2 3 2" xfId="4396" xr:uid="{00000000-0005-0000-0000-000029110000}"/>
    <cellStyle name="Célula Vinculada 2 2 2 3" xfId="4397" xr:uid="{00000000-0005-0000-0000-00002A110000}"/>
    <cellStyle name="Célula Vinculada 2 2 2 3 2" xfId="4398" xr:uid="{00000000-0005-0000-0000-00002B110000}"/>
    <cellStyle name="Célula Vinculada 2 2 3" xfId="4399" xr:uid="{00000000-0005-0000-0000-00002C110000}"/>
    <cellStyle name="Célula Vinculada 2 2 4" xfId="4400" xr:uid="{00000000-0005-0000-0000-00002D110000}"/>
    <cellStyle name="Célula Vinculada 2 2 5" xfId="4401" xr:uid="{00000000-0005-0000-0000-00002E110000}"/>
    <cellStyle name="Célula Vinculada 2 2 5 2" xfId="4402" xr:uid="{00000000-0005-0000-0000-00002F110000}"/>
    <cellStyle name="Célula Vinculada 2 2_BD" xfId="4403" xr:uid="{00000000-0005-0000-0000-000030110000}"/>
    <cellStyle name="Célula Vinculada 2 3" xfId="4404" xr:uid="{00000000-0005-0000-0000-000031110000}"/>
    <cellStyle name="Célula Vinculada 2 4" xfId="4405" xr:uid="{00000000-0005-0000-0000-000032110000}"/>
    <cellStyle name="Célula Vinculada 2 5" xfId="4406" xr:uid="{00000000-0005-0000-0000-000033110000}"/>
    <cellStyle name="Célula Vinculada 2 6" xfId="4407" xr:uid="{00000000-0005-0000-0000-000034110000}"/>
    <cellStyle name="Célula Vinculada 2 6 2" xfId="4408" xr:uid="{00000000-0005-0000-0000-000035110000}"/>
    <cellStyle name="Célula Vinculada 2_BD" xfId="4409" xr:uid="{00000000-0005-0000-0000-000036110000}"/>
    <cellStyle name="Célula Vinculada 20" xfId="4410" xr:uid="{00000000-0005-0000-0000-000037110000}"/>
    <cellStyle name="Célula Vinculada 21" xfId="4411" xr:uid="{00000000-0005-0000-0000-000038110000}"/>
    <cellStyle name="Célula Vinculada 22" xfId="4412" xr:uid="{00000000-0005-0000-0000-000039110000}"/>
    <cellStyle name="Célula Vinculada 23" xfId="4413" xr:uid="{00000000-0005-0000-0000-00003A110000}"/>
    <cellStyle name="Célula Vinculada 24" xfId="4414" xr:uid="{00000000-0005-0000-0000-00003B110000}"/>
    <cellStyle name="Célula Vinculada 25" xfId="4415" xr:uid="{00000000-0005-0000-0000-00003C110000}"/>
    <cellStyle name="Célula Vinculada 26" xfId="4416" xr:uid="{00000000-0005-0000-0000-00003D110000}"/>
    <cellStyle name="Célula Vinculada 27" xfId="4417" xr:uid="{00000000-0005-0000-0000-00003E110000}"/>
    <cellStyle name="Célula Vinculada 28" xfId="4418" xr:uid="{00000000-0005-0000-0000-00003F110000}"/>
    <cellStyle name="Célula Vinculada 29" xfId="4419" xr:uid="{00000000-0005-0000-0000-000040110000}"/>
    <cellStyle name="Célula Vinculada 3" xfId="4420" xr:uid="{00000000-0005-0000-0000-000041110000}"/>
    <cellStyle name="Célula Vinculada 3 2" xfId="4421" xr:uid="{00000000-0005-0000-0000-000042110000}"/>
    <cellStyle name="Célula Vinculada 30" xfId="4422" xr:uid="{00000000-0005-0000-0000-000043110000}"/>
    <cellStyle name="Célula Vinculada 31" xfId="4423" xr:uid="{00000000-0005-0000-0000-000044110000}"/>
    <cellStyle name="Célula Vinculada 32" xfId="4424" xr:uid="{00000000-0005-0000-0000-000045110000}"/>
    <cellStyle name="Célula Vinculada 33" xfId="4425" xr:uid="{00000000-0005-0000-0000-000046110000}"/>
    <cellStyle name="Célula Vinculada 34" xfId="4426" xr:uid="{00000000-0005-0000-0000-000047110000}"/>
    <cellStyle name="Célula Vinculada 35" xfId="4427" xr:uid="{00000000-0005-0000-0000-000048110000}"/>
    <cellStyle name="Célula Vinculada 36" xfId="4428" xr:uid="{00000000-0005-0000-0000-000049110000}"/>
    <cellStyle name="Célula Vinculada 37" xfId="4429" xr:uid="{00000000-0005-0000-0000-00004A110000}"/>
    <cellStyle name="Célula Vinculada 38" xfId="4430" xr:uid="{00000000-0005-0000-0000-00004B110000}"/>
    <cellStyle name="Célula Vinculada 39" xfId="4431" xr:uid="{00000000-0005-0000-0000-00004C110000}"/>
    <cellStyle name="Célula Vinculada 4" xfId="4432" xr:uid="{00000000-0005-0000-0000-00004D110000}"/>
    <cellStyle name="Célula Vinculada 40" xfId="4433" xr:uid="{00000000-0005-0000-0000-00004E110000}"/>
    <cellStyle name="Célula Vinculada 41" xfId="4434" xr:uid="{00000000-0005-0000-0000-00004F110000}"/>
    <cellStyle name="Célula Vinculada 42" xfId="4435" xr:uid="{00000000-0005-0000-0000-000050110000}"/>
    <cellStyle name="Célula Vinculada 43" xfId="4436" xr:uid="{00000000-0005-0000-0000-000051110000}"/>
    <cellStyle name="Célula Vinculada 44" xfId="4437" xr:uid="{00000000-0005-0000-0000-000052110000}"/>
    <cellStyle name="Célula Vinculada 45" xfId="4438" xr:uid="{00000000-0005-0000-0000-000053110000}"/>
    <cellStyle name="Célula Vinculada 46" xfId="4439" xr:uid="{00000000-0005-0000-0000-000054110000}"/>
    <cellStyle name="Célula Vinculada 47" xfId="4440" xr:uid="{00000000-0005-0000-0000-000055110000}"/>
    <cellStyle name="Célula Vinculada 48" xfId="4441" xr:uid="{00000000-0005-0000-0000-000056110000}"/>
    <cellStyle name="Célula Vinculada 49" xfId="4442" xr:uid="{00000000-0005-0000-0000-000057110000}"/>
    <cellStyle name="Célula Vinculada 5" xfId="4443" xr:uid="{00000000-0005-0000-0000-000058110000}"/>
    <cellStyle name="Célula Vinculada 50" xfId="4444" xr:uid="{00000000-0005-0000-0000-000059110000}"/>
    <cellStyle name="Célula Vinculada 51" xfId="4445" xr:uid="{00000000-0005-0000-0000-00005A110000}"/>
    <cellStyle name="Célula Vinculada 52" xfId="4446" xr:uid="{00000000-0005-0000-0000-00005B110000}"/>
    <cellStyle name="Célula Vinculada 53" xfId="4447" xr:uid="{00000000-0005-0000-0000-00005C110000}"/>
    <cellStyle name="Célula Vinculada 54" xfId="4448" xr:uid="{00000000-0005-0000-0000-00005D110000}"/>
    <cellStyle name="Célula Vinculada 55" xfId="4449" xr:uid="{00000000-0005-0000-0000-00005E110000}"/>
    <cellStyle name="Célula Vinculada 56" xfId="4450" xr:uid="{00000000-0005-0000-0000-00005F110000}"/>
    <cellStyle name="Célula Vinculada 57" xfId="4451" xr:uid="{00000000-0005-0000-0000-000060110000}"/>
    <cellStyle name="Célula Vinculada 58" xfId="4452" xr:uid="{00000000-0005-0000-0000-000061110000}"/>
    <cellStyle name="Célula Vinculada 59" xfId="4453" xr:uid="{00000000-0005-0000-0000-000062110000}"/>
    <cellStyle name="Célula Vinculada 6" xfId="4454" xr:uid="{00000000-0005-0000-0000-000063110000}"/>
    <cellStyle name="Célula Vinculada 60" xfId="4455" xr:uid="{00000000-0005-0000-0000-000064110000}"/>
    <cellStyle name="Célula Vinculada 61" xfId="4456" xr:uid="{00000000-0005-0000-0000-000065110000}"/>
    <cellStyle name="Célula Vinculada 62" xfId="4457" xr:uid="{00000000-0005-0000-0000-000066110000}"/>
    <cellStyle name="Célula Vinculada 63" xfId="4458" xr:uid="{00000000-0005-0000-0000-000067110000}"/>
    <cellStyle name="Célula Vinculada 64" xfId="4459" xr:uid="{00000000-0005-0000-0000-000068110000}"/>
    <cellStyle name="Célula Vinculada 65" xfId="4460" xr:uid="{00000000-0005-0000-0000-000069110000}"/>
    <cellStyle name="Célula Vinculada 66" xfId="4461" xr:uid="{00000000-0005-0000-0000-00006A110000}"/>
    <cellStyle name="Célula Vinculada 67" xfId="4462" xr:uid="{00000000-0005-0000-0000-00006B110000}"/>
    <cellStyle name="Célula Vinculada 68" xfId="4463" xr:uid="{00000000-0005-0000-0000-00006C110000}"/>
    <cellStyle name="Célula Vinculada 69" xfId="4464" xr:uid="{00000000-0005-0000-0000-00006D110000}"/>
    <cellStyle name="Célula Vinculada 7" xfId="4465" xr:uid="{00000000-0005-0000-0000-00006E110000}"/>
    <cellStyle name="Célula Vinculada 70" xfId="4466" xr:uid="{00000000-0005-0000-0000-00006F110000}"/>
    <cellStyle name="Célula Vinculada 71" xfId="4467" xr:uid="{00000000-0005-0000-0000-000070110000}"/>
    <cellStyle name="Célula Vinculada 72" xfId="4468" xr:uid="{00000000-0005-0000-0000-000071110000}"/>
    <cellStyle name="Célula Vinculada 73" xfId="4469" xr:uid="{00000000-0005-0000-0000-000072110000}"/>
    <cellStyle name="Célula Vinculada 74" xfId="4470" xr:uid="{00000000-0005-0000-0000-000073110000}"/>
    <cellStyle name="Célula Vinculada 75" xfId="4471" xr:uid="{00000000-0005-0000-0000-000074110000}"/>
    <cellStyle name="Célula Vinculada 76" xfId="4472" xr:uid="{00000000-0005-0000-0000-000075110000}"/>
    <cellStyle name="Célula Vinculada 77" xfId="4473" xr:uid="{00000000-0005-0000-0000-000076110000}"/>
    <cellStyle name="Célula Vinculada 78" xfId="4474" xr:uid="{00000000-0005-0000-0000-000077110000}"/>
    <cellStyle name="Célula Vinculada 79" xfId="4475" xr:uid="{00000000-0005-0000-0000-000078110000}"/>
    <cellStyle name="Célula Vinculada 8" xfId="4476" xr:uid="{00000000-0005-0000-0000-000079110000}"/>
    <cellStyle name="Célula Vinculada 80" xfId="4477" xr:uid="{00000000-0005-0000-0000-00007A110000}"/>
    <cellStyle name="Célula Vinculada 81" xfId="4478" xr:uid="{00000000-0005-0000-0000-00007B110000}"/>
    <cellStyle name="Célula Vinculada 82" xfId="4479" xr:uid="{00000000-0005-0000-0000-00007C110000}"/>
    <cellStyle name="Célula Vinculada 83" xfId="4480" xr:uid="{00000000-0005-0000-0000-00007D110000}"/>
    <cellStyle name="Célula Vinculada 84" xfId="4481" xr:uid="{00000000-0005-0000-0000-00007E110000}"/>
    <cellStyle name="Célula Vinculada 85" xfId="4482" xr:uid="{00000000-0005-0000-0000-00007F110000}"/>
    <cellStyle name="Célula Vinculada 86" xfId="4483" xr:uid="{00000000-0005-0000-0000-000080110000}"/>
    <cellStyle name="Célula Vinculada 87" xfId="4484" xr:uid="{00000000-0005-0000-0000-000081110000}"/>
    <cellStyle name="Célula Vinculada 88" xfId="4485" xr:uid="{00000000-0005-0000-0000-000082110000}"/>
    <cellStyle name="Célula Vinculada 89" xfId="4486" xr:uid="{00000000-0005-0000-0000-000083110000}"/>
    <cellStyle name="Célula Vinculada 9" xfId="4487" xr:uid="{00000000-0005-0000-0000-000084110000}"/>
    <cellStyle name="Célula Vinculada 90" xfId="4488" xr:uid="{00000000-0005-0000-0000-000085110000}"/>
    <cellStyle name="Célula Vinculada 91" xfId="4489" xr:uid="{00000000-0005-0000-0000-000086110000}"/>
    <cellStyle name="Célula Vinculada 92" xfId="4490" xr:uid="{00000000-0005-0000-0000-000087110000}"/>
    <cellStyle name="Célula Vinculada 93" xfId="4491" xr:uid="{00000000-0005-0000-0000-000088110000}"/>
    <cellStyle name="Célula Vinculada 94" xfId="4492" xr:uid="{00000000-0005-0000-0000-000089110000}"/>
    <cellStyle name="Célula Vinculada 95" xfId="4493" xr:uid="{00000000-0005-0000-0000-00008A110000}"/>
    <cellStyle name="Célula Vinculada 96" xfId="4494" xr:uid="{00000000-0005-0000-0000-00008B110000}"/>
    <cellStyle name="Célula Vinculada 97" xfId="4495" xr:uid="{00000000-0005-0000-0000-00008C110000}"/>
    <cellStyle name="Célula Vinculada 98" xfId="4496" xr:uid="{00000000-0005-0000-0000-00008D110000}"/>
    <cellStyle name="Célula Vinculada 99" xfId="4497" xr:uid="{00000000-0005-0000-0000-00008E110000}"/>
    <cellStyle name="Ênfase1 10" xfId="4498" xr:uid="{00000000-0005-0000-0000-00008F110000}"/>
    <cellStyle name="Ênfase1 100" xfId="4499" xr:uid="{00000000-0005-0000-0000-000090110000}"/>
    <cellStyle name="Ênfase1 101" xfId="4500" xr:uid="{00000000-0005-0000-0000-000091110000}"/>
    <cellStyle name="Ênfase1 102" xfId="4501" xr:uid="{00000000-0005-0000-0000-000092110000}"/>
    <cellStyle name="Ênfase1 103" xfId="4502" xr:uid="{00000000-0005-0000-0000-000093110000}"/>
    <cellStyle name="Ênfase1 104" xfId="4503" xr:uid="{00000000-0005-0000-0000-000094110000}"/>
    <cellStyle name="Ênfase1 105" xfId="4504" xr:uid="{00000000-0005-0000-0000-000095110000}"/>
    <cellStyle name="Ênfase1 106" xfId="4505" xr:uid="{00000000-0005-0000-0000-000096110000}"/>
    <cellStyle name="Ênfase1 107" xfId="4506" xr:uid="{00000000-0005-0000-0000-000097110000}"/>
    <cellStyle name="Ênfase1 108" xfId="4507" xr:uid="{00000000-0005-0000-0000-000098110000}"/>
    <cellStyle name="Ênfase1 109" xfId="4508" xr:uid="{00000000-0005-0000-0000-000099110000}"/>
    <cellStyle name="Ênfase1 11" xfId="4509" xr:uid="{00000000-0005-0000-0000-00009A110000}"/>
    <cellStyle name="Ênfase1 110" xfId="4510" xr:uid="{00000000-0005-0000-0000-00009B110000}"/>
    <cellStyle name="Ênfase1 111" xfId="4511" xr:uid="{00000000-0005-0000-0000-00009C110000}"/>
    <cellStyle name="Ênfase1 112" xfId="4512" xr:uid="{00000000-0005-0000-0000-00009D110000}"/>
    <cellStyle name="Ênfase1 113" xfId="4513" xr:uid="{00000000-0005-0000-0000-00009E110000}"/>
    <cellStyle name="Ênfase1 114" xfId="4514" xr:uid="{00000000-0005-0000-0000-00009F110000}"/>
    <cellStyle name="Ênfase1 115" xfId="4515" xr:uid="{00000000-0005-0000-0000-0000A0110000}"/>
    <cellStyle name="Ênfase1 116" xfId="4516" xr:uid="{00000000-0005-0000-0000-0000A1110000}"/>
    <cellStyle name="Ênfase1 117" xfId="4517" xr:uid="{00000000-0005-0000-0000-0000A2110000}"/>
    <cellStyle name="Ênfase1 118" xfId="4518" xr:uid="{00000000-0005-0000-0000-0000A3110000}"/>
    <cellStyle name="Ênfase1 119" xfId="4519" xr:uid="{00000000-0005-0000-0000-0000A4110000}"/>
    <cellStyle name="Ênfase1 12" xfId="4520" xr:uid="{00000000-0005-0000-0000-0000A5110000}"/>
    <cellStyle name="Ênfase1 120" xfId="4521" xr:uid="{00000000-0005-0000-0000-0000A6110000}"/>
    <cellStyle name="Ênfase1 13" xfId="4522" xr:uid="{00000000-0005-0000-0000-0000A7110000}"/>
    <cellStyle name="Ênfase1 14" xfId="4523" xr:uid="{00000000-0005-0000-0000-0000A8110000}"/>
    <cellStyle name="Ênfase1 15" xfId="4524" xr:uid="{00000000-0005-0000-0000-0000A9110000}"/>
    <cellStyle name="Ênfase1 16" xfId="4525" xr:uid="{00000000-0005-0000-0000-0000AA110000}"/>
    <cellStyle name="Ênfase1 17" xfId="4526" xr:uid="{00000000-0005-0000-0000-0000AB110000}"/>
    <cellStyle name="Ênfase1 18" xfId="4527" xr:uid="{00000000-0005-0000-0000-0000AC110000}"/>
    <cellStyle name="Ênfase1 19" xfId="4528" xr:uid="{00000000-0005-0000-0000-0000AD110000}"/>
    <cellStyle name="Ênfase1 2" xfId="4529" xr:uid="{00000000-0005-0000-0000-0000AE110000}"/>
    <cellStyle name="Ênfase1 2 2" xfId="4530" xr:uid="{00000000-0005-0000-0000-0000AF110000}"/>
    <cellStyle name="Ênfase1 2 2 2" xfId="4531" xr:uid="{00000000-0005-0000-0000-0000B0110000}"/>
    <cellStyle name="Ênfase1 2 2 2 2" xfId="4532" xr:uid="{00000000-0005-0000-0000-0000B1110000}"/>
    <cellStyle name="Ênfase1 2 2 2 2 2" xfId="4533" xr:uid="{00000000-0005-0000-0000-0000B2110000}"/>
    <cellStyle name="Ênfase1 2 2 2 2 2 2" xfId="4534" xr:uid="{00000000-0005-0000-0000-0000B3110000}"/>
    <cellStyle name="Ênfase1 2 2 2 2 2 2 2" xfId="4535" xr:uid="{00000000-0005-0000-0000-0000B4110000}"/>
    <cellStyle name="Ênfase1 2 2 2 2 2 3" xfId="4536" xr:uid="{00000000-0005-0000-0000-0000B5110000}"/>
    <cellStyle name="Ênfase1 2 2 2 2 3" xfId="4537" xr:uid="{00000000-0005-0000-0000-0000B6110000}"/>
    <cellStyle name="Ênfase1 2 2 2 2 3 2" xfId="4538" xr:uid="{00000000-0005-0000-0000-0000B7110000}"/>
    <cellStyle name="Ênfase1 2 2 2 3" xfId="4539" xr:uid="{00000000-0005-0000-0000-0000B8110000}"/>
    <cellStyle name="Ênfase1 2 2 2 3 2" xfId="4540" xr:uid="{00000000-0005-0000-0000-0000B9110000}"/>
    <cellStyle name="Ênfase1 2 2 3" xfId="4541" xr:uid="{00000000-0005-0000-0000-0000BA110000}"/>
    <cellStyle name="Ênfase1 2 2 4" xfId="4542" xr:uid="{00000000-0005-0000-0000-0000BB110000}"/>
    <cellStyle name="Ênfase1 2 2 5" xfId="4543" xr:uid="{00000000-0005-0000-0000-0000BC110000}"/>
    <cellStyle name="Ênfase1 2 2 5 2" xfId="4544" xr:uid="{00000000-0005-0000-0000-0000BD110000}"/>
    <cellStyle name="Ênfase1 2 2_BD" xfId="4545" xr:uid="{00000000-0005-0000-0000-0000BE110000}"/>
    <cellStyle name="Ênfase1 2 3" xfId="4546" xr:uid="{00000000-0005-0000-0000-0000BF110000}"/>
    <cellStyle name="Ênfase1 2 4" xfId="4547" xr:uid="{00000000-0005-0000-0000-0000C0110000}"/>
    <cellStyle name="Ênfase1 2 5" xfId="4548" xr:uid="{00000000-0005-0000-0000-0000C1110000}"/>
    <cellStyle name="Ênfase1 2 6" xfId="4549" xr:uid="{00000000-0005-0000-0000-0000C2110000}"/>
    <cellStyle name="Ênfase1 2 6 2" xfId="4550" xr:uid="{00000000-0005-0000-0000-0000C3110000}"/>
    <cellStyle name="Ênfase1 2_BD" xfId="4551" xr:uid="{00000000-0005-0000-0000-0000C4110000}"/>
    <cellStyle name="Ênfase1 20" xfId="4552" xr:uid="{00000000-0005-0000-0000-0000C5110000}"/>
    <cellStyle name="Ênfase1 21" xfId="4553" xr:uid="{00000000-0005-0000-0000-0000C6110000}"/>
    <cellStyle name="Ênfase1 22" xfId="4554" xr:uid="{00000000-0005-0000-0000-0000C7110000}"/>
    <cellStyle name="Ênfase1 23" xfId="4555" xr:uid="{00000000-0005-0000-0000-0000C8110000}"/>
    <cellStyle name="Ênfase1 24" xfId="4556" xr:uid="{00000000-0005-0000-0000-0000C9110000}"/>
    <cellStyle name="Ênfase1 25" xfId="4557" xr:uid="{00000000-0005-0000-0000-0000CA110000}"/>
    <cellStyle name="Ênfase1 26" xfId="4558" xr:uid="{00000000-0005-0000-0000-0000CB110000}"/>
    <cellStyle name="Ênfase1 27" xfId="4559" xr:uid="{00000000-0005-0000-0000-0000CC110000}"/>
    <cellStyle name="Ênfase1 28" xfId="4560" xr:uid="{00000000-0005-0000-0000-0000CD110000}"/>
    <cellStyle name="Ênfase1 29" xfId="4561" xr:uid="{00000000-0005-0000-0000-0000CE110000}"/>
    <cellStyle name="Ênfase1 3" xfId="4562" xr:uid="{00000000-0005-0000-0000-0000CF110000}"/>
    <cellStyle name="Ênfase1 3 2" xfId="4563" xr:uid="{00000000-0005-0000-0000-0000D0110000}"/>
    <cellStyle name="Ênfase1 30" xfId="4564" xr:uid="{00000000-0005-0000-0000-0000D1110000}"/>
    <cellStyle name="Ênfase1 31" xfId="4565" xr:uid="{00000000-0005-0000-0000-0000D2110000}"/>
    <cellStyle name="Ênfase1 32" xfId="4566" xr:uid="{00000000-0005-0000-0000-0000D3110000}"/>
    <cellStyle name="Ênfase1 33" xfId="4567" xr:uid="{00000000-0005-0000-0000-0000D4110000}"/>
    <cellStyle name="Ênfase1 34" xfId="4568" xr:uid="{00000000-0005-0000-0000-0000D5110000}"/>
    <cellStyle name="Ênfase1 35" xfId="4569" xr:uid="{00000000-0005-0000-0000-0000D6110000}"/>
    <cellStyle name="Ênfase1 36" xfId="4570" xr:uid="{00000000-0005-0000-0000-0000D7110000}"/>
    <cellStyle name="Ênfase1 37" xfId="4571" xr:uid="{00000000-0005-0000-0000-0000D8110000}"/>
    <cellStyle name="Ênfase1 38" xfId="4572" xr:uid="{00000000-0005-0000-0000-0000D9110000}"/>
    <cellStyle name="Ênfase1 39" xfId="4573" xr:uid="{00000000-0005-0000-0000-0000DA110000}"/>
    <cellStyle name="Ênfase1 4" xfId="4574" xr:uid="{00000000-0005-0000-0000-0000DB110000}"/>
    <cellStyle name="Ênfase1 40" xfId="4575" xr:uid="{00000000-0005-0000-0000-0000DC110000}"/>
    <cellStyle name="Ênfase1 41" xfId="4576" xr:uid="{00000000-0005-0000-0000-0000DD110000}"/>
    <cellStyle name="Ênfase1 42" xfId="4577" xr:uid="{00000000-0005-0000-0000-0000DE110000}"/>
    <cellStyle name="Ênfase1 43" xfId="4578" xr:uid="{00000000-0005-0000-0000-0000DF110000}"/>
    <cellStyle name="Ênfase1 44" xfId="4579" xr:uid="{00000000-0005-0000-0000-0000E0110000}"/>
    <cellStyle name="Ênfase1 45" xfId="4580" xr:uid="{00000000-0005-0000-0000-0000E1110000}"/>
    <cellStyle name="Ênfase1 46" xfId="4581" xr:uid="{00000000-0005-0000-0000-0000E2110000}"/>
    <cellStyle name="Ênfase1 47" xfId="4582" xr:uid="{00000000-0005-0000-0000-0000E3110000}"/>
    <cellStyle name="Ênfase1 48" xfId="4583" xr:uid="{00000000-0005-0000-0000-0000E4110000}"/>
    <cellStyle name="Ênfase1 49" xfId="4584" xr:uid="{00000000-0005-0000-0000-0000E5110000}"/>
    <cellStyle name="Ênfase1 5" xfId="4585" xr:uid="{00000000-0005-0000-0000-0000E6110000}"/>
    <cellStyle name="Ênfase1 50" xfId="4586" xr:uid="{00000000-0005-0000-0000-0000E7110000}"/>
    <cellStyle name="Ênfase1 51" xfId="4587" xr:uid="{00000000-0005-0000-0000-0000E8110000}"/>
    <cellStyle name="Ênfase1 52" xfId="4588" xr:uid="{00000000-0005-0000-0000-0000E9110000}"/>
    <cellStyle name="Ênfase1 53" xfId="4589" xr:uid="{00000000-0005-0000-0000-0000EA110000}"/>
    <cellStyle name="Ênfase1 54" xfId="4590" xr:uid="{00000000-0005-0000-0000-0000EB110000}"/>
    <cellStyle name="Ênfase1 55" xfId="4591" xr:uid="{00000000-0005-0000-0000-0000EC110000}"/>
    <cellStyle name="Ênfase1 56" xfId="4592" xr:uid="{00000000-0005-0000-0000-0000ED110000}"/>
    <cellStyle name="Ênfase1 57" xfId="4593" xr:uid="{00000000-0005-0000-0000-0000EE110000}"/>
    <cellStyle name="Ênfase1 58" xfId="4594" xr:uid="{00000000-0005-0000-0000-0000EF110000}"/>
    <cellStyle name="Ênfase1 59" xfId="4595" xr:uid="{00000000-0005-0000-0000-0000F0110000}"/>
    <cellStyle name="Ênfase1 6" xfId="4596" xr:uid="{00000000-0005-0000-0000-0000F1110000}"/>
    <cellStyle name="Ênfase1 60" xfId="4597" xr:uid="{00000000-0005-0000-0000-0000F2110000}"/>
    <cellStyle name="Ênfase1 61" xfId="4598" xr:uid="{00000000-0005-0000-0000-0000F3110000}"/>
    <cellStyle name="Ênfase1 62" xfId="4599" xr:uid="{00000000-0005-0000-0000-0000F4110000}"/>
    <cellStyle name="Ênfase1 63" xfId="4600" xr:uid="{00000000-0005-0000-0000-0000F5110000}"/>
    <cellStyle name="Ênfase1 64" xfId="4601" xr:uid="{00000000-0005-0000-0000-0000F6110000}"/>
    <cellStyle name="Ênfase1 65" xfId="4602" xr:uid="{00000000-0005-0000-0000-0000F7110000}"/>
    <cellStyle name="Ênfase1 66" xfId="4603" xr:uid="{00000000-0005-0000-0000-0000F8110000}"/>
    <cellStyle name="Ênfase1 67" xfId="4604" xr:uid="{00000000-0005-0000-0000-0000F9110000}"/>
    <cellStyle name="Ênfase1 68" xfId="4605" xr:uid="{00000000-0005-0000-0000-0000FA110000}"/>
    <cellStyle name="Ênfase1 69" xfId="4606" xr:uid="{00000000-0005-0000-0000-0000FB110000}"/>
    <cellStyle name="Ênfase1 7" xfId="4607" xr:uid="{00000000-0005-0000-0000-0000FC110000}"/>
    <cellStyle name="Ênfase1 70" xfId="4608" xr:uid="{00000000-0005-0000-0000-0000FD110000}"/>
    <cellStyle name="Ênfase1 71" xfId="4609" xr:uid="{00000000-0005-0000-0000-0000FE110000}"/>
    <cellStyle name="Ênfase1 72" xfId="4610" xr:uid="{00000000-0005-0000-0000-0000FF110000}"/>
    <cellStyle name="Ênfase1 73" xfId="4611" xr:uid="{00000000-0005-0000-0000-000000120000}"/>
    <cellStyle name="Ênfase1 74" xfId="4612" xr:uid="{00000000-0005-0000-0000-000001120000}"/>
    <cellStyle name="Ênfase1 75" xfId="4613" xr:uid="{00000000-0005-0000-0000-000002120000}"/>
    <cellStyle name="Ênfase1 76" xfId="4614" xr:uid="{00000000-0005-0000-0000-000003120000}"/>
    <cellStyle name="Ênfase1 77" xfId="4615" xr:uid="{00000000-0005-0000-0000-000004120000}"/>
    <cellStyle name="Ênfase1 78" xfId="4616" xr:uid="{00000000-0005-0000-0000-000005120000}"/>
    <cellStyle name="Ênfase1 79" xfId="4617" xr:uid="{00000000-0005-0000-0000-000006120000}"/>
    <cellStyle name="Ênfase1 8" xfId="4618" xr:uid="{00000000-0005-0000-0000-000007120000}"/>
    <cellStyle name="Ênfase1 80" xfId="4619" xr:uid="{00000000-0005-0000-0000-000008120000}"/>
    <cellStyle name="Ênfase1 81" xfId="4620" xr:uid="{00000000-0005-0000-0000-000009120000}"/>
    <cellStyle name="Ênfase1 82" xfId="4621" xr:uid="{00000000-0005-0000-0000-00000A120000}"/>
    <cellStyle name="Ênfase1 83" xfId="4622" xr:uid="{00000000-0005-0000-0000-00000B120000}"/>
    <cellStyle name="Ênfase1 84" xfId="4623" xr:uid="{00000000-0005-0000-0000-00000C120000}"/>
    <cellStyle name="Ênfase1 85" xfId="4624" xr:uid="{00000000-0005-0000-0000-00000D120000}"/>
    <cellStyle name="Ênfase1 86" xfId="4625" xr:uid="{00000000-0005-0000-0000-00000E120000}"/>
    <cellStyle name="Ênfase1 87" xfId="4626" xr:uid="{00000000-0005-0000-0000-00000F120000}"/>
    <cellStyle name="Ênfase1 88" xfId="4627" xr:uid="{00000000-0005-0000-0000-000010120000}"/>
    <cellStyle name="Ênfase1 89" xfId="4628" xr:uid="{00000000-0005-0000-0000-000011120000}"/>
    <cellStyle name="Ênfase1 9" xfId="4629" xr:uid="{00000000-0005-0000-0000-000012120000}"/>
    <cellStyle name="Ênfase1 90" xfId="4630" xr:uid="{00000000-0005-0000-0000-000013120000}"/>
    <cellStyle name="Ênfase1 91" xfId="4631" xr:uid="{00000000-0005-0000-0000-000014120000}"/>
    <cellStyle name="Ênfase1 92" xfId="4632" xr:uid="{00000000-0005-0000-0000-000015120000}"/>
    <cellStyle name="Ênfase1 93" xfId="4633" xr:uid="{00000000-0005-0000-0000-000016120000}"/>
    <cellStyle name="Ênfase1 94" xfId="4634" xr:uid="{00000000-0005-0000-0000-000017120000}"/>
    <cellStyle name="Ênfase1 95" xfId="4635" xr:uid="{00000000-0005-0000-0000-000018120000}"/>
    <cellStyle name="Ênfase1 96" xfId="4636" xr:uid="{00000000-0005-0000-0000-000019120000}"/>
    <cellStyle name="Ênfase1 97" xfId="4637" xr:uid="{00000000-0005-0000-0000-00001A120000}"/>
    <cellStyle name="Ênfase1 98" xfId="4638" xr:uid="{00000000-0005-0000-0000-00001B120000}"/>
    <cellStyle name="Ênfase1 99" xfId="4639" xr:uid="{00000000-0005-0000-0000-00001C120000}"/>
    <cellStyle name="Ênfase2 10" xfId="4640" xr:uid="{00000000-0005-0000-0000-00001D120000}"/>
    <cellStyle name="Ênfase2 100" xfId="4641" xr:uid="{00000000-0005-0000-0000-00001E120000}"/>
    <cellStyle name="Ênfase2 101" xfId="4642" xr:uid="{00000000-0005-0000-0000-00001F120000}"/>
    <cellStyle name="Ênfase2 102" xfId="4643" xr:uid="{00000000-0005-0000-0000-000020120000}"/>
    <cellStyle name="Ênfase2 103" xfId="4644" xr:uid="{00000000-0005-0000-0000-000021120000}"/>
    <cellStyle name="Ênfase2 104" xfId="4645" xr:uid="{00000000-0005-0000-0000-000022120000}"/>
    <cellStyle name="Ênfase2 105" xfId="4646" xr:uid="{00000000-0005-0000-0000-000023120000}"/>
    <cellStyle name="Ênfase2 106" xfId="4647" xr:uid="{00000000-0005-0000-0000-000024120000}"/>
    <cellStyle name="Ênfase2 107" xfId="4648" xr:uid="{00000000-0005-0000-0000-000025120000}"/>
    <cellStyle name="Ênfase2 108" xfId="4649" xr:uid="{00000000-0005-0000-0000-000026120000}"/>
    <cellStyle name="Ênfase2 109" xfId="4650" xr:uid="{00000000-0005-0000-0000-000027120000}"/>
    <cellStyle name="Ênfase2 11" xfId="4651" xr:uid="{00000000-0005-0000-0000-000028120000}"/>
    <cellStyle name="Ênfase2 110" xfId="4652" xr:uid="{00000000-0005-0000-0000-000029120000}"/>
    <cellStyle name="Ênfase2 111" xfId="4653" xr:uid="{00000000-0005-0000-0000-00002A120000}"/>
    <cellStyle name="Ênfase2 112" xfId="4654" xr:uid="{00000000-0005-0000-0000-00002B120000}"/>
    <cellStyle name="Ênfase2 113" xfId="4655" xr:uid="{00000000-0005-0000-0000-00002C120000}"/>
    <cellStyle name="Ênfase2 114" xfId="4656" xr:uid="{00000000-0005-0000-0000-00002D120000}"/>
    <cellStyle name="Ênfase2 115" xfId="4657" xr:uid="{00000000-0005-0000-0000-00002E120000}"/>
    <cellStyle name="Ênfase2 116" xfId="4658" xr:uid="{00000000-0005-0000-0000-00002F120000}"/>
    <cellStyle name="Ênfase2 117" xfId="4659" xr:uid="{00000000-0005-0000-0000-000030120000}"/>
    <cellStyle name="Ênfase2 118" xfId="4660" xr:uid="{00000000-0005-0000-0000-000031120000}"/>
    <cellStyle name="Ênfase2 119" xfId="4661" xr:uid="{00000000-0005-0000-0000-000032120000}"/>
    <cellStyle name="Ênfase2 12" xfId="4662" xr:uid="{00000000-0005-0000-0000-000033120000}"/>
    <cellStyle name="Ênfase2 120" xfId="4663" xr:uid="{00000000-0005-0000-0000-000034120000}"/>
    <cellStyle name="Ênfase2 13" xfId="4664" xr:uid="{00000000-0005-0000-0000-000035120000}"/>
    <cellStyle name="Ênfase2 14" xfId="4665" xr:uid="{00000000-0005-0000-0000-000036120000}"/>
    <cellStyle name="Ênfase2 15" xfId="4666" xr:uid="{00000000-0005-0000-0000-000037120000}"/>
    <cellStyle name="Ênfase2 16" xfId="4667" xr:uid="{00000000-0005-0000-0000-000038120000}"/>
    <cellStyle name="Ênfase2 17" xfId="4668" xr:uid="{00000000-0005-0000-0000-000039120000}"/>
    <cellStyle name="Ênfase2 18" xfId="4669" xr:uid="{00000000-0005-0000-0000-00003A120000}"/>
    <cellStyle name="Ênfase2 19" xfId="4670" xr:uid="{00000000-0005-0000-0000-00003B120000}"/>
    <cellStyle name="Ênfase2 2" xfId="4671" xr:uid="{00000000-0005-0000-0000-00003C120000}"/>
    <cellStyle name="Ênfase2 2 2" xfId="4672" xr:uid="{00000000-0005-0000-0000-00003D120000}"/>
    <cellStyle name="Ênfase2 2 2 2" xfId="4673" xr:uid="{00000000-0005-0000-0000-00003E120000}"/>
    <cellStyle name="Ênfase2 2 2 2 2" xfId="4674" xr:uid="{00000000-0005-0000-0000-00003F120000}"/>
    <cellStyle name="Ênfase2 2 2 2 2 2" xfId="4675" xr:uid="{00000000-0005-0000-0000-000040120000}"/>
    <cellStyle name="Ênfase2 2 2 2 2 2 2" xfId="4676" xr:uid="{00000000-0005-0000-0000-000041120000}"/>
    <cellStyle name="Ênfase2 2 2 2 2 2 2 2" xfId="4677" xr:uid="{00000000-0005-0000-0000-000042120000}"/>
    <cellStyle name="Ênfase2 2 2 2 2 2 3" xfId="4678" xr:uid="{00000000-0005-0000-0000-000043120000}"/>
    <cellStyle name="Ênfase2 2 2 2 2 3" xfId="4679" xr:uid="{00000000-0005-0000-0000-000044120000}"/>
    <cellStyle name="Ênfase2 2 2 2 2 3 2" xfId="4680" xr:uid="{00000000-0005-0000-0000-000045120000}"/>
    <cellStyle name="Ênfase2 2 2 2 3" xfId="4681" xr:uid="{00000000-0005-0000-0000-000046120000}"/>
    <cellStyle name="Ênfase2 2 2 2 3 2" xfId="4682" xr:uid="{00000000-0005-0000-0000-000047120000}"/>
    <cellStyle name="Ênfase2 2 2 3" xfId="4683" xr:uid="{00000000-0005-0000-0000-000048120000}"/>
    <cellStyle name="Ênfase2 2 2 4" xfId="4684" xr:uid="{00000000-0005-0000-0000-000049120000}"/>
    <cellStyle name="Ênfase2 2 2 5" xfId="4685" xr:uid="{00000000-0005-0000-0000-00004A120000}"/>
    <cellStyle name="Ênfase2 2 2 5 2" xfId="4686" xr:uid="{00000000-0005-0000-0000-00004B120000}"/>
    <cellStyle name="Ênfase2 2 2_BD" xfId="4687" xr:uid="{00000000-0005-0000-0000-00004C120000}"/>
    <cellStyle name="Ênfase2 2 3" xfId="4688" xr:uid="{00000000-0005-0000-0000-00004D120000}"/>
    <cellStyle name="Ênfase2 2 4" xfId="4689" xr:uid="{00000000-0005-0000-0000-00004E120000}"/>
    <cellStyle name="Ênfase2 2 5" xfId="4690" xr:uid="{00000000-0005-0000-0000-00004F120000}"/>
    <cellStyle name="Ênfase2 2 6" xfId="4691" xr:uid="{00000000-0005-0000-0000-000050120000}"/>
    <cellStyle name="Ênfase2 2 6 2" xfId="4692" xr:uid="{00000000-0005-0000-0000-000051120000}"/>
    <cellStyle name="Ênfase2 2_BD" xfId="4693" xr:uid="{00000000-0005-0000-0000-000052120000}"/>
    <cellStyle name="Ênfase2 20" xfId="4694" xr:uid="{00000000-0005-0000-0000-000053120000}"/>
    <cellStyle name="Ênfase2 21" xfId="4695" xr:uid="{00000000-0005-0000-0000-000054120000}"/>
    <cellStyle name="Ênfase2 22" xfId="4696" xr:uid="{00000000-0005-0000-0000-000055120000}"/>
    <cellStyle name="Ênfase2 23" xfId="4697" xr:uid="{00000000-0005-0000-0000-000056120000}"/>
    <cellStyle name="Ênfase2 24" xfId="4698" xr:uid="{00000000-0005-0000-0000-000057120000}"/>
    <cellStyle name="Ênfase2 25" xfId="4699" xr:uid="{00000000-0005-0000-0000-000058120000}"/>
    <cellStyle name="Ênfase2 26" xfId="4700" xr:uid="{00000000-0005-0000-0000-000059120000}"/>
    <cellStyle name="Ênfase2 27" xfId="4701" xr:uid="{00000000-0005-0000-0000-00005A120000}"/>
    <cellStyle name="Ênfase2 28" xfId="4702" xr:uid="{00000000-0005-0000-0000-00005B120000}"/>
    <cellStyle name="Ênfase2 29" xfId="4703" xr:uid="{00000000-0005-0000-0000-00005C120000}"/>
    <cellStyle name="Ênfase2 3" xfId="4704" xr:uid="{00000000-0005-0000-0000-00005D120000}"/>
    <cellStyle name="Ênfase2 3 2" xfId="4705" xr:uid="{00000000-0005-0000-0000-00005E120000}"/>
    <cellStyle name="Ênfase2 30" xfId="4706" xr:uid="{00000000-0005-0000-0000-00005F120000}"/>
    <cellStyle name="Ênfase2 31" xfId="4707" xr:uid="{00000000-0005-0000-0000-000060120000}"/>
    <cellStyle name="Ênfase2 32" xfId="4708" xr:uid="{00000000-0005-0000-0000-000061120000}"/>
    <cellStyle name="Ênfase2 33" xfId="4709" xr:uid="{00000000-0005-0000-0000-000062120000}"/>
    <cellStyle name="Ênfase2 34" xfId="4710" xr:uid="{00000000-0005-0000-0000-000063120000}"/>
    <cellStyle name="Ênfase2 35" xfId="4711" xr:uid="{00000000-0005-0000-0000-000064120000}"/>
    <cellStyle name="Ênfase2 36" xfId="4712" xr:uid="{00000000-0005-0000-0000-000065120000}"/>
    <cellStyle name="Ênfase2 37" xfId="4713" xr:uid="{00000000-0005-0000-0000-000066120000}"/>
    <cellStyle name="Ênfase2 38" xfId="4714" xr:uid="{00000000-0005-0000-0000-000067120000}"/>
    <cellStyle name="Ênfase2 39" xfId="4715" xr:uid="{00000000-0005-0000-0000-000068120000}"/>
    <cellStyle name="Ênfase2 4" xfId="4716" xr:uid="{00000000-0005-0000-0000-000069120000}"/>
    <cellStyle name="Ênfase2 40" xfId="4717" xr:uid="{00000000-0005-0000-0000-00006A120000}"/>
    <cellStyle name="Ênfase2 41" xfId="4718" xr:uid="{00000000-0005-0000-0000-00006B120000}"/>
    <cellStyle name="Ênfase2 42" xfId="4719" xr:uid="{00000000-0005-0000-0000-00006C120000}"/>
    <cellStyle name="Ênfase2 43" xfId="4720" xr:uid="{00000000-0005-0000-0000-00006D120000}"/>
    <cellStyle name="Ênfase2 44" xfId="4721" xr:uid="{00000000-0005-0000-0000-00006E120000}"/>
    <cellStyle name="Ênfase2 45" xfId="4722" xr:uid="{00000000-0005-0000-0000-00006F120000}"/>
    <cellStyle name="Ênfase2 46" xfId="4723" xr:uid="{00000000-0005-0000-0000-000070120000}"/>
    <cellStyle name="Ênfase2 47" xfId="4724" xr:uid="{00000000-0005-0000-0000-000071120000}"/>
    <cellStyle name="Ênfase2 48" xfId="4725" xr:uid="{00000000-0005-0000-0000-000072120000}"/>
    <cellStyle name="Ênfase2 49" xfId="4726" xr:uid="{00000000-0005-0000-0000-000073120000}"/>
    <cellStyle name="Ênfase2 5" xfId="4727" xr:uid="{00000000-0005-0000-0000-000074120000}"/>
    <cellStyle name="Ênfase2 50" xfId="4728" xr:uid="{00000000-0005-0000-0000-000075120000}"/>
    <cellStyle name="Ênfase2 51" xfId="4729" xr:uid="{00000000-0005-0000-0000-000076120000}"/>
    <cellStyle name="Ênfase2 52" xfId="4730" xr:uid="{00000000-0005-0000-0000-000077120000}"/>
    <cellStyle name="Ênfase2 53" xfId="4731" xr:uid="{00000000-0005-0000-0000-000078120000}"/>
    <cellStyle name="Ênfase2 54" xfId="4732" xr:uid="{00000000-0005-0000-0000-000079120000}"/>
    <cellStyle name="Ênfase2 55" xfId="4733" xr:uid="{00000000-0005-0000-0000-00007A120000}"/>
    <cellStyle name="Ênfase2 56" xfId="4734" xr:uid="{00000000-0005-0000-0000-00007B120000}"/>
    <cellStyle name="Ênfase2 57" xfId="4735" xr:uid="{00000000-0005-0000-0000-00007C120000}"/>
    <cellStyle name="Ênfase2 58" xfId="4736" xr:uid="{00000000-0005-0000-0000-00007D120000}"/>
    <cellStyle name="Ênfase2 59" xfId="4737" xr:uid="{00000000-0005-0000-0000-00007E120000}"/>
    <cellStyle name="Ênfase2 6" xfId="4738" xr:uid="{00000000-0005-0000-0000-00007F120000}"/>
    <cellStyle name="Ênfase2 60" xfId="4739" xr:uid="{00000000-0005-0000-0000-000080120000}"/>
    <cellStyle name="Ênfase2 61" xfId="4740" xr:uid="{00000000-0005-0000-0000-000081120000}"/>
    <cellStyle name="Ênfase2 62" xfId="4741" xr:uid="{00000000-0005-0000-0000-000082120000}"/>
    <cellStyle name="Ênfase2 63" xfId="4742" xr:uid="{00000000-0005-0000-0000-000083120000}"/>
    <cellStyle name="Ênfase2 64" xfId="4743" xr:uid="{00000000-0005-0000-0000-000084120000}"/>
    <cellStyle name="Ênfase2 65" xfId="4744" xr:uid="{00000000-0005-0000-0000-000085120000}"/>
    <cellStyle name="Ênfase2 66" xfId="4745" xr:uid="{00000000-0005-0000-0000-000086120000}"/>
    <cellStyle name="Ênfase2 67" xfId="4746" xr:uid="{00000000-0005-0000-0000-000087120000}"/>
    <cellStyle name="Ênfase2 68" xfId="4747" xr:uid="{00000000-0005-0000-0000-000088120000}"/>
    <cellStyle name="Ênfase2 69" xfId="4748" xr:uid="{00000000-0005-0000-0000-000089120000}"/>
    <cellStyle name="Ênfase2 7" xfId="4749" xr:uid="{00000000-0005-0000-0000-00008A120000}"/>
    <cellStyle name="Ênfase2 70" xfId="4750" xr:uid="{00000000-0005-0000-0000-00008B120000}"/>
    <cellStyle name="Ênfase2 71" xfId="4751" xr:uid="{00000000-0005-0000-0000-00008C120000}"/>
    <cellStyle name="Ênfase2 72" xfId="4752" xr:uid="{00000000-0005-0000-0000-00008D120000}"/>
    <cellStyle name="Ênfase2 73" xfId="4753" xr:uid="{00000000-0005-0000-0000-00008E120000}"/>
    <cellStyle name="Ênfase2 74" xfId="4754" xr:uid="{00000000-0005-0000-0000-00008F120000}"/>
    <cellStyle name="Ênfase2 75" xfId="4755" xr:uid="{00000000-0005-0000-0000-000090120000}"/>
    <cellStyle name="Ênfase2 76" xfId="4756" xr:uid="{00000000-0005-0000-0000-000091120000}"/>
    <cellStyle name="Ênfase2 77" xfId="4757" xr:uid="{00000000-0005-0000-0000-000092120000}"/>
    <cellStyle name="Ênfase2 78" xfId="4758" xr:uid="{00000000-0005-0000-0000-000093120000}"/>
    <cellStyle name="Ênfase2 79" xfId="4759" xr:uid="{00000000-0005-0000-0000-000094120000}"/>
    <cellStyle name="Ênfase2 8" xfId="4760" xr:uid="{00000000-0005-0000-0000-000095120000}"/>
    <cellStyle name="Ênfase2 80" xfId="4761" xr:uid="{00000000-0005-0000-0000-000096120000}"/>
    <cellStyle name="Ênfase2 81" xfId="4762" xr:uid="{00000000-0005-0000-0000-000097120000}"/>
    <cellStyle name="Ênfase2 82" xfId="4763" xr:uid="{00000000-0005-0000-0000-000098120000}"/>
    <cellStyle name="Ênfase2 83" xfId="4764" xr:uid="{00000000-0005-0000-0000-000099120000}"/>
    <cellStyle name="Ênfase2 84" xfId="4765" xr:uid="{00000000-0005-0000-0000-00009A120000}"/>
    <cellStyle name="Ênfase2 85" xfId="4766" xr:uid="{00000000-0005-0000-0000-00009B120000}"/>
    <cellStyle name="Ênfase2 86" xfId="4767" xr:uid="{00000000-0005-0000-0000-00009C120000}"/>
    <cellStyle name="Ênfase2 87" xfId="4768" xr:uid="{00000000-0005-0000-0000-00009D120000}"/>
    <cellStyle name="Ênfase2 88" xfId="4769" xr:uid="{00000000-0005-0000-0000-00009E120000}"/>
    <cellStyle name="Ênfase2 89" xfId="4770" xr:uid="{00000000-0005-0000-0000-00009F120000}"/>
    <cellStyle name="Ênfase2 9" xfId="4771" xr:uid="{00000000-0005-0000-0000-0000A0120000}"/>
    <cellStyle name="Ênfase2 90" xfId="4772" xr:uid="{00000000-0005-0000-0000-0000A1120000}"/>
    <cellStyle name="Ênfase2 91" xfId="4773" xr:uid="{00000000-0005-0000-0000-0000A2120000}"/>
    <cellStyle name="Ênfase2 92" xfId="4774" xr:uid="{00000000-0005-0000-0000-0000A3120000}"/>
    <cellStyle name="Ênfase2 93" xfId="4775" xr:uid="{00000000-0005-0000-0000-0000A4120000}"/>
    <cellStyle name="Ênfase2 94" xfId="4776" xr:uid="{00000000-0005-0000-0000-0000A5120000}"/>
    <cellStyle name="Ênfase2 95" xfId="4777" xr:uid="{00000000-0005-0000-0000-0000A6120000}"/>
    <cellStyle name="Ênfase2 96" xfId="4778" xr:uid="{00000000-0005-0000-0000-0000A7120000}"/>
    <cellStyle name="Ênfase2 97" xfId="4779" xr:uid="{00000000-0005-0000-0000-0000A8120000}"/>
    <cellStyle name="Ênfase2 98" xfId="4780" xr:uid="{00000000-0005-0000-0000-0000A9120000}"/>
    <cellStyle name="Ênfase2 99" xfId="4781" xr:uid="{00000000-0005-0000-0000-0000AA120000}"/>
    <cellStyle name="Ênfase3 10" xfId="4782" xr:uid="{00000000-0005-0000-0000-0000AB120000}"/>
    <cellStyle name="Ênfase3 100" xfId="4783" xr:uid="{00000000-0005-0000-0000-0000AC120000}"/>
    <cellStyle name="Ênfase3 101" xfId="4784" xr:uid="{00000000-0005-0000-0000-0000AD120000}"/>
    <cellStyle name="Ênfase3 102" xfId="4785" xr:uid="{00000000-0005-0000-0000-0000AE120000}"/>
    <cellStyle name="Ênfase3 103" xfId="4786" xr:uid="{00000000-0005-0000-0000-0000AF120000}"/>
    <cellStyle name="Ênfase3 104" xfId="4787" xr:uid="{00000000-0005-0000-0000-0000B0120000}"/>
    <cellStyle name="Ênfase3 105" xfId="4788" xr:uid="{00000000-0005-0000-0000-0000B1120000}"/>
    <cellStyle name="Ênfase3 106" xfId="4789" xr:uid="{00000000-0005-0000-0000-0000B2120000}"/>
    <cellStyle name="Ênfase3 107" xfId="4790" xr:uid="{00000000-0005-0000-0000-0000B3120000}"/>
    <cellStyle name="Ênfase3 108" xfId="4791" xr:uid="{00000000-0005-0000-0000-0000B4120000}"/>
    <cellStyle name="Ênfase3 109" xfId="4792" xr:uid="{00000000-0005-0000-0000-0000B5120000}"/>
    <cellStyle name="Ênfase3 11" xfId="4793" xr:uid="{00000000-0005-0000-0000-0000B6120000}"/>
    <cellStyle name="Ênfase3 110" xfId="4794" xr:uid="{00000000-0005-0000-0000-0000B7120000}"/>
    <cellStyle name="Ênfase3 111" xfId="4795" xr:uid="{00000000-0005-0000-0000-0000B8120000}"/>
    <cellStyle name="Ênfase3 112" xfId="4796" xr:uid="{00000000-0005-0000-0000-0000B9120000}"/>
    <cellStyle name="Ênfase3 113" xfId="4797" xr:uid="{00000000-0005-0000-0000-0000BA120000}"/>
    <cellStyle name="Ênfase3 114" xfId="4798" xr:uid="{00000000-0005-0000-0000-0000BB120000}"/>
    <cellStyle name="Ênfase3 115" xfId="4799" xr:uid="{00000000-0005-0000-0000-0000BC120000}"/>
    <cellStyle name="Ênfase3 116" xfId="4800" xr:uid="{00000000-0005-0000-0000-0000BD120000}"/>
    <cellStyle name="Ênfase3 117" xfId="4801" xr:uid="{00000000-0005-0000-0000-0000BE120000}"/>
    <cellStyle name="Ênfase3 118" xfId="4802" xr:uid="{00000000-0005-0000-0000-0000BF120000}"/>
    <cellStyle name="Ênfase3 119" xfId="4803" xr:uid="{00000000-0005-0000-0000-0000C0120000}"/>
    <cellStyle name="Ênfase3 12" xfId="4804" xr:uid="{00000000-0005-0000-0000-0000C1120000}"/>
    <cellStyle name="Ênfase3 120" xfId="4805" xr:uid="{00000000-0005-0000-0000-0000C2120000}"/>
    <cellStyle name="Ênfase3 13" xfId="4806" xr:uid="{00000000-0005-0000-0000-0000C3120000}"/>
    <cellStyle name="Ênfase3 14" xfId="4807" xr:uid="{00000000-0005-0000-0000-0000C4120000}"/>
    <cellStyle name="Ênfase3 15" xfId="4808" xr:uid="{00000000-0005-0000-0000-0000C5120000}"/>
    <cellStyle name="Ênfase3 16" xfId="4809" xr:uid="{00000000-0005-0000-0000-0000C6120000}"/>
    <cellStyle name="Ênfase3 17" xfId="4810" xr:uid="{00000000-0005-0000-0000-0000C7120000}"/>
    <cellStyle name="Ênfase3 18" xfId="4811" xr:uid="{00000000-0005-0000-0000-0000C8120000}"/>
    <cellStyle name="Ênfase3 19" xfId="4812" xr:uid="{00000000-0005-0000-0000-0000C9120000}"/>
    <cellStyle name="Ênfase3 2" xfId="4813" xr:uid="{00000000-0005-0000-0000-0000CA120000}"/>
    <cellStyle name="Ênfase3 2 2" xfId="4814" xr:uid="{00000000-0005-0000-0000-0000CB120000}"/>
    <cellStyle name="Ênfase3 2 2 2" xfId="4815" xr:uid="{00000000-0005-0000-0000-0000CC120000}"/>
    <cellStyle name="Ênfase3 2 2 2 2" xfId="4816" xr:uid="{00000000-0005-0000-0000-0000CD120000}"/>
    <cellStyle name="Ênfase3 2 2 2 2 2" xfId="4817" xr:uid="{00000000-0005-0000-0000-0000CE120000}"/>
    <cellStyle name="Ênfase3 2 2 2 2 2 2" xfId="4818" xr:uid="{00000000-0005-0000-0000-0000CF120000}"/>
    <cellStyle name="Ênfase3 2 2 2 2 2 2 2" xfId="4819" xr:uid="{00000000-0005-0000-0000-0000D0120000}"/>
    <cellStyle name="Ênfase3 2 2 2 2 2 3" xfId="4820" xr:uid="{00000000-0005-0000-0000-0000D1120000}"/>
    <cellStyle name="Ênfase3 2 2 2 2 3" xfId="4821" xr:uid="{00000000-0005-0000-0000-0000D2120000}"/>
    <cellStyle name="Ênfase3 2 2 2 2 3 2" xfId="4822" xr:uid="{00000000-0005-0000-0000-0000D3120000}"/>
    <cellStyle name="Ênfase3 2 2 2 3" xfId="4823" xr:uid="{00000000-0005-0000-0000-0000D4120000}"/>
    <cellStyle name="Ênfase3 2 2 2 3 2" xfId="4824" xr:uid="{00000000-0005-0000-0000-0000D5120000}"/>
    <cellStyle name="Ênfase3 2 2 3" xfId="4825" xr:uid="{00000000-0005-0000-0000-0000D6120000}"/>
    <cellStyle name="Ênfase3 2 2 4" xfId="4826" xr:uid="{00000000-0005-0000-0000-0000D7120000}"/>
    <cellStyle name="Ênfase3 2 2 5" xfId="4827" xr:uid="{00000000-0005-0000-0000-0000D8120000}"/>
    <cellStyle name="Ênfase3 2 2 5 2" xfId="4828" xr:uid="{00000000-0005-0000-0000-0000D9120000}"/>
    <cellStyle name="Ênfase3 2 2_BD" xfId="4829" xr:uid="{00000000-0005-0000-0000-0000DA120000}"/>
    <cellStyle name="Ênfase3 2 3" xfId="4830" xr:uid="{00000000-0005-0000-0000-0000DB120000}"/>
    <cellStyle name="Ênfase3 2 4" xfId="4831" xr:uid="{00000000-0005-0000-0000-0000DC120000}"/>
    <cellStyle name="Ênfase3 2 5" xfId="4832" xr:uid="{00000000-0005-0000-0000-0000DD120000}"/>
    <cellStyle name="Ênfase3 2 6" xfId="4833" xr:uid="{00000000-0005-0000-0000-0000DE120000}"/>
    <cellStyle name="Ênfase3 2 6 2" xfId="4834" xr:uid="{00000000-0005-0000-0000-0000DF120000}"/>
    <cellStyle name="Ênfase3 2_BD" xfId="4835" xr:uid="{00000000-0005-0000-0000-0000E0120000}"/>
    <cellStyle name="Ênfase3 20" xfId="4836" xr:uid="{00000000-0005-0000-0000-0000E1120000}"/>
    <cellStyle name="Ênfase3 21" xfId="4837" xr:uid="{00000000-0005-0000-0000-0000E2120000}"/>
    <cellStyle name="Ênfase3 22" xfId="4838" xr:uid="{00000000-0005-0000-0000-0000E3120000}"/>
    <cellStyle name="Ênfase3 23" xfId="4839" xr:uid="{00000000-0005-0000-0000-0000E4120000}"/>
    <cellStyle name="Ênfase3 24" xfId="4840" xr:uid="{00000000-0005-0000-0000-0000E5120000}"/>
    <cellStyle name="Ênfase3 25" xfId="4841" xr:uid="{00000000-0005-0000-0000-0000E6120000}"/>
    <cellStyle name="Ênfase3 26" xfId="4842" xr:uid="{00000000-0005-0000-0000-0000E7120000}"/>
    <cellStyle name="Ênfase3 27" xfId="4843" xr:uid="{00000000-0005-0000-0000-0000E8120000}"/>
    <cellStyle name="Ênfase3 28" xfId="4844" xr:uid="{00000000-0005-0000-0000-0000E9120000}"/>
    <cellStyle name="Ênfase3 29" xfId="4845" xr:uid="{00000000-0005-0000-0000-0000EA120000}"/>
    <cellStyle name="Ênfase3 3" xfId="4846" xr:uid="{00000000-0005-0000-0000-0000EB120000}"/>
    <cellStyle name="Ênfase3 3 2" xfId="4847" xr:uid="{00000000-0005-0000-0000-0000EC120000}"/>
    <cellStyle name="Ênfase3 30" xfId="4848" xr:uid="{00000000-0005-0000-0000-0000ED120000}"/>
    <cellStyle name="Ênfase3 31" xfId="4849" xr:uid="{00000000-0005-0000-0000-0000EE120000}"/>
    <cellStyle name="Ênfase3 32" xfId="4850" xr:uid="{00000000-0005-0000-0000-0000EF120000}"/>
    <cellStyle name="Ênfase3 33" xfId="4851" xr:uid="{00000000-0005-0000-0000-0000F0120000}"/>
    <cellStyle name="Ênfase3 34" xfId="4852" xr:uid="{00000000-0005-0000-0000-0000F1120000}"/>
    <cellStyle name="Ênfase3 35" xfId="4853" xr:uid="{00000000-0005-0000-0000-0000F2120000}"/>
    <cellStyle name="Ênfase3 36" xfId="4854" xr:uid="{00000000-0005-0000-0000-0000F3120000}"/>
    <cellStyle name="Ênfase3 37" xfId="4855" xr:uid="{00000000-0005-0000-0000-0000F4120000}"/>
    <cellStyle name="Ênfase3 38" xfId="4856" xr:uid="{00000000-0005-0000-0000-0000F5120000}"/>
    <cellStyle name="Ênfase3 39" xfId="4857" xr:uid="{00000000-0005-0000-0000-0000F6120000}"/>
    <cellStyle name="Ênfase3 4" xfId="4858" xr:uid="{00000000-0005-0000-0000-0000F7120000}"/>
    <cellStyle name="Ênfase3 40" xfId="4859" xr:uid="{00000000-0005-0000-0000-0000F8120000}"/>
    <cellStyle name="Ênfase3 41" xfId="4860" xr:uid="{00000000-0005-0000-0000-0000F9120000}"/>
    <cellStyle name="Ênfase3 42" xfId="4861" xr:uid="{00000000-0005-0000-0000-0000FA120000}"/>
    <cellStyle name="Ênfase3 43" xfId="4862" xr:uid="{00000000-0005-0000-0000-0000FB120000}"/>
    <cellStyle name="Ênfase3 44" xfId="4863" xr:uid="{00000000-0005-0000-0000-0000FC120000}"/>
    <cellStyle name="Ênfase3 45" xfId="4864" xr:uid="{00000000-0005-0000-0000-0000FD120000}"/>
    <cellStyle name="Ênfase3 46" xfId="4865" xr:uid="{00000000-0005-0000-0000-0000FE120000}"/>
    <cellStyle name="Ênfase3 47" xfId="4866" xr:uid="{00000000-0005-0000-0000-0000FF120000}"/>
    <cellStyle name="Ênfase3 48" xfId="4867" xr:uid="{00000000-0005-0000-0000-000000130000}"/>
    <cellStyle name="Ênfase3 49" xfId="4868" xr:uid="{00000000-0005-0000-0000-000001130000}"/>
    <cellStyle name="Ênfase3 5" xfId="4869" xr:uid="{00000000-0005-0000-0000-000002130000}"/>
    <cellStyle name="Ênfase3 50" xfId="4870" xr:uid="{00000000-0005-0000-0000-000003130000}"/>
    <cellStyle name="Ênfase3 51" xfId="4871" xr:uid="{00000000-0005-0000-0000-000004130000}"/>
    <cellStyle name="Ênfase3 52" xfId="4872" xr:uid="{00000000-0005-0000-0000-000005130000}"/>
    <cellStyle name="Ênfase3 53" xfId="4873" xr:uid="{00000000-0005-0000-0000-000006130000}"/>
    <cellStyle name="Ênfase3 54" xfId="4874" xr:uid="{00000000-0005-0000-0000-000007130000}"/>
    <cellStyle name="Ênfase3 55" xfId="4875" xr:uid="{00000000-0005-0000-0000-000008130000}"/>
    <cellStyle name="Ênfase3 56" xfId="4876" xr:uid="{00000000-0005-0000-0000-000009130000}"/>
    <cellStyle name="Ênfase3 57" xfId="4877" xr:uid="{00000000-0005-0000-0000-00000A130000}"/>
    <cellStyle name="Ênfase3 58" xfId="4878" xr:uid="{00000000-0005-0000-0000-00000B130000}"/>
    <cellStyle name="Ênfase3 59" xfId="4879" xr:uid="{00000000-0005-0000-0000-00000C130000}"/>
    <cellStyle name="Ênfase3 6" xfId="4880" xr:uid="{00000000-0005-0000-0000-00000D130000}"/>
    <cellStyle name="Ênfase3 60" xfId="4881" xr:uid="{00000000-0005-0000-0000-00000E130000}"/>
    <cellStyle name="Ênfase3 61" xfId="4882" xr:uid="{00000000-0005-0000-0000-00000F130000}"/>
    <cellStyle name="Ênfase3 62" xfId="4883" xr:uid="{00000000-0005-0000-0000-000010130000}"/>
    <cellStyle name="Ênfase3 63" xfId="4884" xr:uid="{00000000-0005-0000-0000-000011130000}"/>
    <cellStyle name="Ênfase3 64" xfId="4885" xr:uid="{00000000-0005-0000-0000-000012130000}"/>
    <cellStyle name="Ênfase3 65" xfId="4886" xr:uid="{00000000-0005-0000-0000-000013130000}"/>
    <cellStyle name="Ênfase3 66" xfId="4887" xr:uid="{00000000-0005-0000-0000-000014130000}"/>
    <cellStyle name="Ênfase3 67" xfId="4888" xr:uid="{00000000-0005-0000-0000-000015130000}"/>
    <cellStyle name="Ênfase3 68" xfId="4889" xr:uid="{00000000-0005-0000-0000-000016130000}"/>
    <cellStyle name="Ênfase3 69" xfId="4890" xr:uid="{00000000-0005-0000-0000-000017130000}"/>
    <cellStyle name="Ênfase3 7" xfId="4891" xr:uid="{00000000-0005-0000-0000-000018130000}"/>
    <cellStyle name="Ênfase3 70" xfId="4892" xr:uid="{00000000-0005-0000-0000-000019130000}"/>
    <cellStyle name="Ênfase3 71" xfId="4893" xr:uid="{00000000-0005-0000-0000-00001A130000}"/>
    <cellStyle name="Ênfase3 72" xfId="4894" xr:uid="{00000000-0005-0000-0000-00001B130000}"/>
    <cellStyle name="Ênfase3 73" xfId="4895" xr:uid="{00000000-0005-0000-0000-00001C130000}"/>
    <cellStyle name="Ênfase3 74" xfId="4896" xr:uid="{00000000-0005-0000-0000-00001D130000}"/>
    <cellStyle name="Ênfase3 75" xfId="4897" xr:uid="{00000000-0005-0000-0000-00001E130000}"/>
    <cellStyle name="Ênfase3 76" xfId="4898" xr:uid="{00000000-0005-0000-0000-00001F130000}"/>
    <cellStyle name="Ênfase3 77" xfId="4899" xr:uid="{00000000-0005-0000-0000-000020130000}"/>
    <cellStyle name="Ênfase3 78" xfId="4900" xr:uid="{00000000-0005-0000-0000-000021130000}"/>
    <cellStyle name="Ênfase3 79" xfId="4901" xr:uid="{00000000-0005-0000-0000-000022130000}"/>
    <cellStyle name="Ênfase3 8" xfId="4902" xr:uid="{00000000-0005-0000-0000-000023130000}"/>
    <cellStyle name="Ênfase3 80" xfId="4903" xr:uid="{00000000-0005-0000-0000-000024130000}"/>
    <cellStyle name="Ênfase3 81" xfId="4904" xr:uid="{00000000-0005-0000-0000-000025130000}"/>
    <cellStyle name="Ênfase3 82" xfId="4905" xr:uid="{00000000-0005-0000-0000-000026130000}"/>
    <cellStyle name="Ênfase3 83" xfId="4906" xr:uid="{00000000-0005-0000-0000-000027130000}"/>
    <cellStyle name="Ênfase3 84" xfId="4907" xr:uid="{00000000-0005-0000-0000-000028130000}"/>
    <cellStyle name="Ênfase3 85" xfId="4908" xr:uid="{00000000-0005-0000-0000-000029130000}"/>
    <cellStyle name="Ênfase3 86" xfId="4909" xr:uid="{00000000-0005-0000-0000-00002A130000}"/>
    <cellStyle name="Ênfase3 87" xfId="4910" xr:uid="{00000000-0005-0000-0000-00002B130000}"/>
    <cellStyle name="Ênfase3 88" xfId="4911" xr:uid="{00000000-0005-0000-0000-00002C130000}"/>
    <cellStyle name="Ênfase3 89" xfId="4912" xr:uid="{00000000-0005-0000-0000-00002D130000}"/>
    <cellStyle name="Ênfase3 9" xfId="4913" xr:uid="{00000000-0005-0000-0000-00002E130000}"/>
    <cellStyle name="Ênfase3 90" xfId="4914" xr:uid="{00000000-0005-0000-0000-00002F130000}"/>
    <cellStyle name="Ênfase3 91" xfId="4915" xr:uid="{00000000-0005-0000-0000-000030130000}"/>
    <cellStyle name="Ênfase3 92" xfId="4916" xr:uid="{00000000-0005-0000-0000-000031130000}"/>
    <cellStyle name="Ênfase3 93" xfId="4917" xr:uid="{00000000-0005-0000-0000-000032130000}"/>
    <cellStyle name="Ênfase3 94" xfId="4918" xr:uid="{00000000-0005-0000-0000-000033130000}"/>
    <cellStyle name="Ênfase3 95" xfId="4919" xr:uid="{00000000-0005-0000-0000-000034130000}"/>
    <cellStyle name="Ênfase3 96" xfId="4920" xr:uid="{00000000-0005-0000-0000-000035130000}"/>
    <cellStyle name="Ênfase3 97" xfId="4921" xr:uid="{00000000-0005-0000-0000-000036130000}"/>
    <cellStyle name="Ênfase3 98" xfId="4922" xr:uid="{00000000-0005-0000-0000-000037130000}"/>
    <cellStyle name="Ênfase3 99" xfId="4923" xr:uid="{00000000-0005-0000-0000-000038130000}"/>
    <cellStyle name="Ênfase4 10" xfId="4924" xr:uid="{00000000-0005-0000-0000-000039130000}"/>
    <cellStyle name="Ênfase4 100" xfId="4925" xr:uid="{00000000-0005-0000-0000-00003A130000}"/>
    <cellStyle name="Ênfase4 101" xfId="4926" xr:uid="{00000000-0005-0000-0000-00003B130000}"/>
    <cellStyle name="Ênfase4 102" xfId="4927" xr:uid="{00000000-0005-0000-0000-00003C130000}"/>
    <cellStyle name="Ênfase4 103" xfId="4928" xr:uid="{00000000-0005-0000-0000-00003D130000}"/>
    <cellStyle name="Ênfase4 104" xfId="4929" xr:uid="{00000000-0005-0000-0000-00003E130000}"/>
    <cellStyle name="Ênfase4 105" xfId="4930" xr:uid="{00000000-0005-0000-0000-00003F130000}"/>
    <cellStyle name="Ênfase4 106" xfId="4931" xr:uid="{00000000-0005-0000-0000-000040130000}"/>
    <cellStyle name="Ênfase4 107" xfId="4932" xr:uid="{00000000-0005-0000-0000-000041130000}"/>
    <cellStyle name="Ênfase4 108" xfId="4933" xr:uid="{00000000-0005-0000-0000-000042130000}"/>
    <cellStyle name="Ênfase4 109" xfId="4934" xr:uid="{00000000-0005-0000-0000-000043130000}"/>
    <cellStyle name="Ênfase4 11" xfId="4935" xr:uid="{00000000-0005-0000-0000-000044130000}"/>
    <cellStyle name="Ênfase4 110" xfId="4936" xr:uid="{00000000-0005-0000-0000-000045130000}"/>
    <cellStyle name="Ênfase4 111" xfId="4937" xr:uid="{00000000-0005-0000-0000-000046130000}"/>
    <cellStyle name="Ênfase4 112" xfId="4938" xr:uid="{00000000-0005-0000-0000-000047130000}"/>
    <cellStyle name="Ênfase4 113" xfId="4939" xr:uid="{00000000-0005-0000-0000-000048130000}"/>
    <cellStyle name="Ênfase4 114" xfId="4940" xr:uid="{00000000-0005-0000-0000-000049130000}"/>
    <cellStyle name="Ênfase4 115" xfId="4941" xr:uid="{00000000-0005-0000-0000-00004A130000}"/>
    <cellStyle name="Ênfase4 116" xfId="4942" xr:uid="{00000000-0005-0000-0000-00004B130000}"/>
    <cellStyle name="Ênfase4 117" xfId="4943" xr:uid="{00000000-0005-0000-0000-00004C130000}"/>
    <cellStyle name="Ênfase4 118" xfId="4944" xr:uid="{00000000-0005-0000-0000-00004D130000}"/>
    <cellStyle name="Ênfase4 119" xfId="4945" xr:uid="{00000000-0005-0000-0000-00004E130000}"/>
    <cellStyle name="Ênfase4 12" xfId="4946" xr:uid="{00000000-0005-0000-0000-00004F130000}"/>
    <cellStyle name="Ênfase4 120" xfId="4947" xr:uid="{00000000-0005-0000-0000-000050130000}"/>
    <cellStyle name="Ênfase4 13" xfId="4948" xr:uid="{00000000-0005-0000-0000-000051130000}"/>
    <cellStyle name="Ênfase4 14" xfId="4949" xr:uid="{00000000-0005-0000-0000-000052130000}"/>
    <cellStyle name="Ênfase4 15" xfId="4950" xr:uid="{00000000-0005-0000-0000-000053130000}"/>
    <cellStyle name="Ênfase4 16" xfId="4951" xr:uid="{00000000-0005-0000-0000-000054130000}"/>
    <cellStyle name="Ênfase4 17" xfId="4952" xr:uid="{00000000-0005-0000-0000-000055130000}"/>
    <cellStyle name="Ênfase4 18" xfId="4953" xr:uid="{00000000-0005-0000-0000-000056130000}"/>
    <cellStyle name="Ênfase4 19" xfId="4954" xr:uid="{00000000-0005-0000-0000-000057130000}"/>
    <cellStyle name="Ênfase4 2" xfId="4955" xr:uid="{00000000-0005-0000-0000-000058130000}"/>
    <cellStyle name="Ênfase4 2 2" xfId="4956" xr:uid="{00000000-0005-0000-0000-000059130000}"/>
    <cellStyle name="Ênfase4 2 2 2" xfId="4957" xr:uid="{00000000-0005-0000-0000-00005A130000}"/>
    <cellStyle name="Ênfase4 2 2 2 2" xfId="4958" xr:uid="{00000000-0005-0000-0000-00005B130000}"/>
    <cellStyle name="Ênfase4 2 2 2 2 2" xfId="4959" xr:uid="{00000000-0005-0000-0000-00005C130000}"/>
    <cellStyle name="Ênfase4 2 2 3" xfId="4960" xr:uid="{00000000-0005-0000-0000-00005D130000}"/>
    <cellStyle name="Ênfase4 2 2 4" xfId="4961" xr:uid="{00000000-0005-0000-0000-00005E130000}"/>
    <cellStyle name="Ênfase4 2 2_BD" xfId="4962" xr:uid="{00000000-0005-0000-0000-00005F130000}"/>
    <cellStyle name="Ênfase4 2 3" xfId="4963" xr:uid="{00000000-0005-0000-0000-000060130000}"/>
    <cellStyle name="Ênfase4 2 4" xfId="4964" xr:uid="{00000000-0005-0000-0000-000061130000}"/>
    <cellStyle name="Ênfase4 2 5" xfId="4965" xr:uid="{00000000-0005-0000-0000-000062130000}"/>
    <cellStyle name="Ênfase4 2 6" xfId="4966" xr:uid="{00000000-0005-0000-0000-000063130000}"/>
    <cellStyle name="Ênfase4 2 6 2" xfId="4967" xr:uid="{00000000-0005-0000-0000-000064130000}"/>
    <cellStyle name="Ênfase4 2_BD" xfId="4968" xr:uid="{00000000-0005-0000-0000-000065130000}"/>
    <cellStyle name="Ênfase4 20" xfId="4969" xr:uid="{00000000-0005-0000-0000-000066130000}"/>
    <cellStyle name="Ênfase4 21" xfId="4970" xr:uid="{00000000-0005-0000-0000-000067130000}"/>
    <cellStyle name="Ênfase4 22" xfId="4971" xr:uid="{00000000-0005-0000-0000-000068130000}"/>
    <cellStyle name="Ênfase4 23" xfId="4972" xr:uid="{00000000-0005-0000-0000-000069130000}"/>
    <cellStyle name="Ênfase4 24" xfId="4973" xr:uid="{00000000-0005-0000-0000-00006A130000}"/>
    <cellStyle name="Ênfase4 25" xfId="4974" xr:uid="{00000000-0005-0000-0000-00006B130000}"/>
    <cellStyle name="Ênfase4 26" xfId="4975" xr:uid="{00000000-0005-0000-0000-00006C130000}"/>
    <cellStyle name="Ênfase4 27" xfId="4976" xr:uid="{00000000-0005-0000-0000-00006D130000}"/>
    <cellStyle name="Ênfase4 28" xfId="4977" xr:uid="{00000000-0005-0000-0000-00006E130000}"/>
    <cellStyle name="Ênfase4 29" xfId="4978" xr:uid="{00000000-0005-0000-0000-00006F130000}"/>
    <cellStyle name="Ênfase4 3" xfId="4979" xr:uid="{00000000-0005-0000-0000-000070130000}"/>
    <cellStyle name="Ênfase4 3 2" xfId="4980" xr:uid="{00000000-0005-0000-0000-000071130000}"/>
    <cellStyle name="Ênfase4 3_BD" xfId="4981" xr:uid="{00000000-0005-0000-0000-000072130000}"/>
    <cellStyle name="Ênfase4 30" xfId="4982" xr:uid="{00000000-0005-0000-0000-000073130000}"/>
    <cellStyle name="Ênfase4 31" xfId="4983" xr:uid="{00000000-0005-0000-0000-000074130000}"/>
    <cellStyle name="Ênfase4 32" xfId="4984" xr:uid="{00000000-0005-0000-0000-000075130000}"/>
    <cellStyle name="Ênfase4 33" xfId="4985" xr:uid="{00000000-0005-0000-0000-000076130000}"/>
    <cellStyle name="Ênfase4 34" xfId="4986" xr:uid="{00000000-0005-0000-0000-000077130000}"/>
    <cellStyle name="Ênfase4 35" xfId="4987" xr:uid="{00000000-0005-0000-0000-000078130000}"/>
    <cellStyle name="Ênfase4 36" xfId="4988" xr:uid="{00000000-0005-0000-0000-000079130000}"/>
    <cellStyle name="Ênfase4 37" xfId="4989" xr:uid="{00000000-0005-0000-0000-00007A130000}"/>
    <cellStyle name="Ênfase4 38" xfId="4990" xr:uid="{00000000-0005-0000-0000-00007B130000}"/>
    <cellStyle name="Ênfase4 39" xfId="4991" xr:uid="{00000000-0005-0000-0000-00007C130000}"/>
    <cellStyle name="Ênfase4 4" xfId="4992" xr:uid="{00000000-0005-0000-0000-00007D130000}"/>
    <cellStyle name="Ênfase4 40" xfId="4993" xr:uid="{00000000-0005-0000-0000-00007E130000}"/>
    <cellStyle name="Ênfase4 41" xfId="4994" xr:uid="{00000000-0005-0000-0000-00007F130000}"/>
    <cellStyle name="Ênfase4 42" xfId="4995" xr:uid="{00000000-0005-0000-0000-000080130000}"/>
    <cellStyle name="Ênfase4 43" xfId="4996" xr:uid="{00000000-0005-0000-0000-000081130000}"/>
    <cellStyle name="Ênfase4 44" xfId="4997" xr:uid="{00000000-0005-0000-0000-000082130000}"/>
    <cellStyle name="Ênfase4 45" xfId="4998" xr:uid="{00000000-0005-0000-0000-000083130000}"/>
    <cellStyle name="Ênfase4 46" xfId="4999" xr:uid="{00000000-0005-0000-0000-000084130000}"/>
    <cellStyle name="Ênfase4 47" xfId="5000" xr:uid="{00000000-0005-0000-0000-000085130000}"/>
    <cellStyle name="Ênfase4 48" xfId="5001" xr:uid="{00000000-0005-0000-0000-000086130000}"/>
    <cellStyle name="Ênfase4 49" xfId="5002" xr:uid="{00000000-0005-0000-0000-000087130000}"/>
    <cellStyle name="Ênfase4 5" xfId="5003" xr:uid="{00000000-0005-0000-0000-000088130000}"/>
    <cellStyle name="Ênfase4 50" xfId="5004" xr:uid="{00000000-0005-0000-0000-000089130000}"/>
    <cellStyle name="Ênfase4 51" xfId="5005" xr:uid="{00000000-0005-0000-0000-00008A130000}"/>
    <cellStyle name="Ênfase4 52" xfId="5006" xr:uid="{00000000-0005-0000-0000-00008B130000}"/>
    <cellStyle name="Ênfase4 53" xfId="5007" xr:uid="{00000000-0005-0000-0000-00008C130000}"/>
    <cellStyle name="Ênfase4 54" xfId="5008" xr:uid="{00000000-0005-0000-0000-00008D130000}"/>
    <cellStyle name="Ênfase4 55" xfId="5009" xr:uid="{00000000-0005-0000-0000-00008E130000}"/>
    <cellStyle name="Ênfase4 56" xfId="5010" xr:uid="{00000000-0005-0000-0000-00008F130000}"/>
    <cellStyle name="Ênfase4 57" xfId="5011" xr:uid="{00000000-0005-0000-0000-000090130000}"/>
    <cellStyle name="Ênfase4 58" xfId="5012" xr:uid="{00000000-0005-0000-0000-000091130000}"/>
    <cellStyle name="Ênfase4 59" xfId="5013" xr:uid="{00000000-0005-0000-0000-000092130000}"/>
    <cellStyle name="Ênfase4 6" xfId="5014" xr:uid="{00000000-0005-0000-0000-000093130000}"/>
    <cellStyle name="Ênfase4 60" xfId="5015" xr:uid="{00000000-0005-0000-0000-000094130000}"/>
    <cellStyle name="Ênfase4 61" xfId="5016" xr:uid="{00000000-0005-0000-0000-000095130000}"/>
    <cellStyle name="Ênfase4 62" xfId="5017" xr:uid="{00000000-0005-0000-0000-000096130000}"/>
    <cellStyle name="Ênfase4 63" xfId="5018" xr:uid="{00000000-0005-0000-0000-000097130000}"/>
    <cellStyle name="Ênfase4 64" xfId="5019" xr:uid="{00000000-0005-0000-0000-000098130000}"/>
    <cellStyle name="Ênfase4 65" xfId="5020" xr:uid="{00000000-0005-0000-0000-000099130000}"/>
    <cellStyle name="Ênfase4 66" xfId="5021" xr:uid="{00000000-0005-0000-0000-00009A130000}"/>
    <cellStyle name="Ênfase4 67" xfId="5022" xr:uid="{00000000-0005-0000-0000-00009B130000}"/>
    <cellStyle name="Ênfase4 68" xfId="5023" xr:uid="{00000000-0005-0000-0000-00009C130000}"/>
    <cellStyle name="Ênfase4 69" xfId="5024" xr:uid="{00000000-0005-0000-0000-00009D130000}"/>
    <cellStyle name="Ênfase4 7" xfId="5025" xr:uid="{00000000-0005-0000-0000-00009E130000}"/>
    <cellStyle name="Ênfase4 70" xfId="5026" xr:uid="{00000000-0005-0000-0000-00009F130000}"/>
    <cellStyle name="Ênfase4 71" xfId="5027" xr:uid="{00000000-0005-0000-0000-0000A0130000}"/>
    <cellStyle name="Ênfase4 72" xfId="5028" xr:uid="{00000000-0005-0000-0000-0000A1130000}"/>
    <cellStyle name="Ênfase4 73" xfId="5029" xr:uid="{00000000-0005-0000-0000-0000A2130000}"/>
    <cellStyle name="Ênfase4 74" xfId="5030" xr:uid="{00000000-0005-0000-0000-0000A3130000}"/>
    <cellStyle name="Ênfase4 75" xfId="5031" xr:uid="{00000000-0005-0000-0000-0000A4130000}"/>
    <cellStyle name="Ênfase4 76" xfId="5032" xr:uid="{00000000-0005-0000-0000-0000A5130000}"/>
    <cellStyle name="Ênfase4 77" xfId="5033" xr:uid="{00000000-0005-0000-0000-0000A6130000}"/>
    <cellStyle name="Ênfase4 78" xfId="5034" xr:uid="{00000000-0005-0000-0000-0000A7130000}"/>
    <cellStyle name="Ênfase4 79" xfId="5035" xr:uid="{00000000-0005-0000-0000-0000A8130000}"/>
    <cellStyle name="Ênfase4 8" xfId="5036" xr:uid="{00000000-0005-0000-0000-0000A9130000}"/>
    <cellStyle name="Ênfase4 80" xfId="5037" xr:uid="{00000000-0005-0000-0000-0000AA130000}"/>
    <cellStyle name="Ênfase4 81" xfId="5038" xr:uid="{00000000-0005-0000-0000-0000AB130000}"/>
    <cellStyle name="Ênfase4 82" xfId="5039" xr:uid="{00000000-0005-0000-0000-0000AC130000}"/>
    <cellStyle name="Ênfase4 83" xfId="5040" xr:uid="{00000000-0005-0000-0000-0000AD130000}"/>
    <cellStyle name="Ênfase4 84" xfId="5041" xr:uid="{00000000-0005-0000-0000-0000AE130000}"/>
    <cellStyle name="Ênfase4 85" xfId="5042" xr:uid="{00000000-0005-0000-0000-0000AF130000}"/>
    <cellStyle name="Ênfase4 86" xfId="5043" xr:uid="{00000000-0005-0000-0000-0000B0130000}"/>
    <cellStyle name="Ênfase4 87" xfId="5044" xr:uid="{00000000-0005-0000-0000-0000B1130000}"/>
    <cellStyle name="Ênfase4 88" xfId="5045" xr:uid="{00000000-0005-0000-0000-0000B2130000}"/>
    <cellStyle name="Ênfase4 89" xfId="5046" xr:uid="{00000000-0005-0000-0000-0000B3130000}"/>
    <cellStyle name="Ênfase4 9" xfId="5047" xr:uid="{00000000-0005-0000-0000-0000B4130000}"/>
    <cellStyle name="Ênfase4 90" xfId="5048" xr:uid="{00000000-0005-0000-0000-0000B5130000}"/>
    <cellStyle name="Ênfase4 91" xfId="5049" xr:uid="{00000000-0005-0000-0000-0000B6130000}"/>
    <cellStyle name="Ênfase4 92" xfId="5050" xr:uid="{00000000-0005-0000-0000-0000B7130000}"/>
    <cellStyle name="Ênfase4 93" xfId="5051" xr:uid="{00000000-0005-0000-0000-0000B8130000}"/>
    <cellStyle name="Ênfase4 94" xfId="5052" xr:uid="{00000000-0005-0000-0000-0000B9130000}"/>
    <cellStyle name="Ênfase4 95" xfId="5053" xr:uid="{00000000-0005-0000-0000-0000BA130000}"/>
    <cellStyle name="Ênfase4 96" xfId="5054" xr:uid="{00000000-0005-0000-0000-0000BB130000}"/>
    <cellStyle name="Ênfase4 97" xfId="5055" xr:uid="{00000000-0005-0000-0000-0000BC130000}"/>
    <cellStyle name="Ênfase4 98" xfId="5056" xr:uid="{00000000-0005-0000-0000-0000BD130000}"/>
    <cellStyle name="Ênfase4 99" xfId="5057" xr:uid="{00000000-0005-0000-0000-0000BE130000}"/>
    <cellStyle name="Ênfase5 10" xfId="5058" xr:uid="{00000000-0005-0000-0000-0000BF130000}"/>
    <cellStyle name="Ênfase5 100" xfId="5059" xr:uid="{00000000-0005-0000-0000-0000C0130000}"/>
    <cellStyle name="Ênfase5 101" xfId="5060" xr:uid="{00000000-0005-0000-0000-0000C1130000}"/>
    <cellStyle name="Ênfase5 102" xfId="5061" xr:uid="{00000000-0005-0000-0000-0000C2130000}"/>
    <cellStyle name="Ênfase5 103" xfId="5062" xr:uid="{00000000-0005-0000-0000-0000C3130000}"/>
    <cellStyle name="Ênfase5 104" xfId="5063" xr:uid="{00000000-0005-0000-0000-0000C4130000}"/>
    <cellStyle name="Ênfase5 105" xfId="5064" xr:uid="{00000000-0005-0000-0000-0000C5130000}"/>
    <cellStyle name="Ênfase5 106" xfId="5065" xr:uid="{00000000-0005-0000-0000-0000C6130000}"/>
    <cellStyle name="Ênfase5 107" xfId="5066" xr:uid="{00000000-0005-0000-0000-0000C7130000}"/>
    <cellStyle name="Ênfase5 108" xfId="5067" xr:uid="{00000000-0005-0000-0000-0000C8130000}"/>
    <cellStyle name="Ênfase5 109" xfId="5068" xr:uid="{00000000-0005-0000-0000-0000C9130000}"/>
    <cellStyle name="Ênfase5 11" xfId="5069" xr:uid="{00000000-0005-0000-0000-0000CA130000}"/>
    <cellStyle name="Ênfase5 110" xfId="5070" xr:uid="{00000000-0005-0000-0000-0000CB130000}"/>
    <cellStyle name="Ênfase5 111" xfId="5071" xr:uid="{00000000-0005-0000-0000-0000CC130000}"/>
    <cellStyle name="Ênfase5 112" xfId="5072" xr:uid="{00000000-0005-0000-0000-0000CD130000}"/>
    <cellStyle name="Ênfase5 113" xfId="5073" xr:uid="{00000000-0005-0000-0000-0000CE130000}"/>
    <cellStyle name="Ênfase5 114" xfId="5074" xr:uid="{00000000-0005-0000-0000-0000CF130000}"/>
    <cellStyle name="Ênfase5 115" xfId="5075" xr:uid="{00000000-0005-0000-0000-0000D0130000}"/>
    <cellStyle name="Ênfase5 116" xfId="5076" xr:uid="{00000000-0005-0000-0000-0000D1130000}"/>
    <cellStyle name="Ênfase5 117" xfId="5077" xr:uid="{00000000-0005-0000-0000-0000D2130000}"/>
    <cellStyle name="Ênfase5 118" xfId="5078" xr:uid="{00000000-0005-0000-0000-0000D3130000}"/>
    <cellStyle name="Ênfase5 119" xfId="5079" xr:uid="{00000000-0005-0000-0000-0000D4130000}"/>
    <cellStyle name="Ênfase5 12" xfId="5080" xr:uid="{00000000-0005-0000-0000-0000D5130000}"/>
    <cellStyle name="Ênfase5 120" xfId="5081" xr:uid="{00000000-0005-0000-0000-0000D6130000}"/>
    <cellStyle name="Ênfase5 13" xfId="5082" xr:uid="{00000000-0005-0000-0000-0000D7130000}"/>
    <cellStyle name="Ênfase5 14" xfId="5083" xr:uid="{00000000-0005-0000-0000-0000D8130000}"/>
    <cellStyle name="Ênfase5 15" xfId="5084" xr:uid="{00000000-0005-0000-0000-0000D9130000}"/>
    <cellStyle name="Ênfase5 16" xfId="5085" xr:uid="{00000000-0005-0000-0000-0000DA130000}"/>
    <cellStyle name="Ênfase5 17" xfId="5086" xr:uid="{00000000-0005-0000-0000-0000DB130000}"/>
    <cellStyle name="Ênfase5 18" xfId="5087" xr:uid="{00000000-0005-0000-0000-0000DC130000}"/>
    <cellStyle name="Ênfase5 19" xfId="5088" xr:uid="{00000000-0005-0000-0000-0000DD130000}"/>
    <cellStyle name="Ênfase5 2" xfId="5089" xr:uid="{00000000-0005-0000-0000-0000DE130000}"/>
    <cellStyle name="Ênfase5 2 2" xfId="5090" xr:uid="{00000000-0005-0000-0000-0000DF130000}"/>
    <cellStyle name="Ênfase5 2 2 2" xfId="5091" xr:uid="{00000000-0005-0000-0000-0000E0130000}"/>
    <cellStyle name="Ênfase5 2 2 2 2" xfId="5092" xr:uid="{00000000-0005-0000-0000-0000E1130000}"/>
    <cellStyle name="Ênfase5 2 2 2 2 2" xfId="5093" xr:uid="{00000000-0005-0000-0000-0000E2130000}"/>
    <cellStyle name="Ênfase5 2 2 3" xfId="5094" xr:uid="{00000000-0005-0000-0000-0000E3130000}"/>
    <cellStyle name="Ênfase5 2 2 4" xfId="5095" xr:uid="{00000000-0005-0000-0000-0000E4130000}"/>
    <cellStyle name="Ênfase5 2 2_BD" xfId="5096" xr:uid="{00000000-0005-0000-0000-0000E5130000}"/>
    <cellStyle name="Ênfase5 2 3" xfId="5097" xr:uid="{00000000-0005-0000-0000-0000E6130000}"/>
    <cellStyle name="Ênfase5 2 4" xfId="5098" xr:uid="{00000000-0005-0000-0000-0000E7130000}"/>
    <cellStyle name="Ênfase5 2 5" xfId="5099" xr:uid="{00000000-0005-0000-0000-0000E8130000}"/>
    <cellStyle name="Ênfase5 2 6" xfId="5100" xr:uid="{00000000-0005-0000-0000-0000E9130000}"/>
    <cellStyle name="Ênfase5 2 6 2" xfId="5101" xr:uid="{00000000-0005-0000-0000-0000EA130000}"/>
    <cellStyle name="Ênfase5 2_BD" xfId="5102" xr:uid="{00000000-0005-0000-0000-0000EB130000}"/>
    <cellStyle name="Ênfase5 20" xfId="5103" xr:uid="{00000000-0005-0000-0000-0000EC130000}"/>
    <cellStyle name="Ênfase5 21" xfId="5104" xr:uid="{00000000-0005-0000-0000-0000ED130000}"/>
    <cellStyle name="Ênfase5 22" xfId="5105" xr:uid="{00000000-0005-0000-0000-0000EE130000}"/>
    <cellStyle name="Ênfase5 23" xfId="5106" xr:uid="{00000000-0005-0000-0000-0000EF130000}"/>
    <cellStyle name="Ênfase5 24" xfId="5107" xr:uid="{00000000-0005-0000-0000-0000F0130000}"/>
    <cellStyle name="Ênfase5 25" xfId="5108" xr:uid="{00000000-0005-0000-0000-0000F1130000}"/>
    <cellStyle name="Ênfase5 26" xfId="5109" xr:uid="{00000000-0005-0000-0000-0000F2130000}"/>
    <cellStyle name="Ênfase5 27" xfId="5110" xr:uid="{00000000-0005-0000-0000-0000F3130000}"/>
    <cellStyle name="Ênfase5 28" xfId="5111" xr:uid="{00000000-0005-0000-0000-0000F4130000}"/>
    <cellStyle name="Ênfase5 29" xfId="5112" xr:uid="{00000000-0005-0000-0000-0000F5130000}"/>
    <cellStyle name="Ênfase5 3" xfId="5113" xr:uid="{00000000-0005-0000-0000-0000F6130000}"/>
    <cellStyle name="Ênfase5 3 2" xfId="5114" xr:uid="{00000000-0005-0000-0000-0000F7130000}"/>
    <cellStyle name="Ênfase5 3_BD" xfId="5115" xr:uid="{00000000-0005-0000-0000-0000F8130000}"/>
    <cellStyle name="Ênfase5 30" xfId="5116" xr:uid="{00000000-0005-0000-0000-0000F9130000}"/>
    <cellStyle name="Ênfase5 31" xfId="5117" xr:uid="{00000000-0005-0000-0000-0000FA130000}"/>
    <cellStyle name="Ênfase5 32" xfId="5118" xr:uid="{00000000-0005-0000-0000-0000FB130000}"/>
    <cellStyle name="Ênfase5 33" xfId="5119" xr:uid="{00000000-0005-0000-0000-0000FC130000}"/>
    <cellStyle name="Ênfase5 34" xfId="5120" xr:uid="{00000000-0005-0000-0000-0000FD130000}"/>
    <cellStyle name="Ênfase5 35" xfId="5121" xr:uid="{00000000-0005-0000-0000-0000FE130000}"/>
    <cellStyle name="Ênfase5 36" xfId="5122" xr:uid="{00000000-0005-0000-0000-0000FF130000}"/>
    <cellStyle name="Ênfase5 37" xfId="5123" xr:uid="{00000000-0005-0000-0000-000000140000}"/>
    <cellStyle name="Ênfase5 38" xfId="5124" xr:uid="{00000000-0005-0000-0000-000001140000}"/>
    <cellStyle name="Ênfase5 39" xfId="5125" xr:uid="{00000000-0005-0000-0000-000002140000}"/>
    <cellStyle name="Ênfase5 4" xfId="5126" xr:uid="{00000000-0005-0000-0000-000003140000}"/>
    <cellStyle name="Ênfase5 40" xfId="5127" xr:uid="{00000000-0005-0000-0000-000004140000}"/>
    <cellStyle name="Ênfase5 41" xfId="5128" xr:uid="{00000000-0005-0000-0000-000005140000}"/>
    <cellStyle name="Ênfase5 42" xfId="5129" xr:uid="{00000000-0005-0000-0000-000006140000}"/>
    <cellStyle name="Ênfase5 43" xfId="5130" xr:uid="{00000000-0005-0000-0000-000007140000}"/>
    <cellStyle name="Ênfase5 44" xfId="5131" xr:uid="{00000000-0005-0000-0000-000008140000}"/>
    <cellStyle name="Ênfase5 45" xfId="5132" xr:uid="{00000000-0005-0000-0000-000009140000}"/>
    <cellStyle name="Ênfase5 46" xfId="5133" xr:uid="{00000000-0005-0000-0000-00000A140000}"/>
    <cellStyle name="Ênfase5 47" xfId="5134" xr:uid="{00000000-0005-0000-0000-00000B140000}"/>
    <cellStyle name="Ênfase5 48" xfId="5135" xr:uid="{00000000-0005-0000-0000-00000C140000}"/>
    <cellStyle name="Ênfase5 49" xfId="5136" xr:uid="{00000000-0005-0000-0000-00000D140000}"/>
    <cellStyle name="Ênfase5 5" xfId="5137" xr:uid="{00000000-0005-0000-0000-00000E140000}"/>
    <cellStyle name="Ênfase5 50" xfId="5138" xr:uid="{00000000-0005-0000-0000-00000F140000}"/>
    <cellStyle name="Ênfase5 51" xfId="5139" xr:uid="{00000000-0005-0000-0000-000010140000}"/>
    <cellStyle name="Ênfase5 52" xfId="5140" xr:uid="{00000000-0005-0000-0000-000011140000}"/>
    <cellStyle name="Ênfase5 53" xfId="5141" xr:uid="{00000000-0005-0000-0000-000012140000}"/>
    <cellStyle name="Ênfase5 54" xfId="5142" xr:uid="{00000000-0005-0000-0000-000013140000}"/>
    <cellStyle name="Ênfase5 55" xfId="5143" xr:uid="{00000000-0005-0000-0000-000014140000}"/>
    <cellStyle name="Ênfase5 56" xfId="5144" xr:uid="{00000000-0005-0000-0000-000015140000}"/>
    <cellStyle name="Ênfase5 57" xfId="5145" xr:uid="{00000000-0005-0000-0000-000016140000}"/>
    <cellStyle name="Ênfase5 58" xfId="5146" xr:uid="{00000000-0005-0000-0000-000017140000}"/>
    <cellStyle name="Ênfase5 59" xfId="5147" xr:uid="{00000000-0005-0000-0000-000018140000}"/>
    <cellStyle name="Ênfase5 6" xfId="5148" xr:uid="{00000000-0005-0000-0000-000019140000}"/>
    <cellStyle name="Ênfase5 60" xfId="5149" xr:uid="{00000000-0005-0000-0000-00001A140000}"/>
    <cellStyle name="Ênfase5 61" xfId="5150" xr:uid="{00000000-0005-0000-0000-00001B140000}"/>
    <cellStyle name="Ênfase5 62" xfId="5151" xr:uid="{00000000-0005-0000-0000-00001C140000}"/>
    <cellStyle name="Ênfase5 63" xfId="5152" xr:uid="{00000000-0005-0000-0000-00001D140000}"/>
    <cellStyle name="Ênfase5 64" xfId="5153" xr:uid="{00000000-0005-0000-0000-00001E140000}"/>
    <cellStyle name="Ênfase5 65" xfId="5154" xr:uid="{00000000-0005-0000-0000-00001F140000}"/>
    <cellStyle name="Ênfase5 66" xfId="5155" xr:uid="{00000000-0005-0000-0000-000020140000}"/>
    <cellStyle name="Ênfase5 67" xfId="5156" xr:uid="{00000000-0005-0000-0000-000021140000}"/>
    <cellStyle name="Ênfase5 68" xfId="5157" xr:uid="{00000000-0005-0000-0000-000022140000}"/>
    <cellStyle name="Ênfase5 69" xfId="5158" xr:uid="{00000000-0005-0000-0000-000023140000}"/>
    <cellStyle name="Ênfase5 7" xfId="5159" xr:uid="{00000000-0005-0000-0000-000024140000}"/>
    <cellStyle name="Ênfase5 70" xfId="5160" xr:uid="{00000000-0005-0000-0000-000025140000}"/>
    <cellStyle name="Ênfase5 71" xfId="5161" xr:uid="{00000000-0005-0000-0000-000026140000}"/>
    <cellStyle name="Ênfase5 72" xfId="5162" xr:uid="{00000000-0005-0000-0000-000027140000}"/>
    <cellStyle name="Ênfase5 73" xfId="5163" xr:uid="{00000000-0005-0000-0000-000028140000}"/>
    <cellStyle name="Ênfase5 74" xfId="5164" xr:uid="{00000000-0005-0000-0000-000029140000}"/>
    <cellStyle name="Ênfase5 75" xfId="5165" xr:uid="{00000000-0005-0000-0000-00002A140000}"/>
    <cellStyle name="Ênfase5 76" xfId="5166" xr:uid="{00000000-0005-0000-0000-00002B140000}"/>
    <cellStyle name="Ênfase5 77" xfId="5167" xr:uid="{00000000-0005-0000-0000-00002C140000}"/>
    <cellStyle name="Ênfase5 78" xfId="5168" xr:uid="{00000000-0005-0000-0000-00002D140000}"/>
    <cellStyle name="Ênfase5 79" xfId="5169" xr:uid="{00000000-0005-0000-0000-00002E140000}"/>
    <cellStyle name="Ênfase5 8" xfId="5170" xr:uid="{00000000-0005-0000-0000-00002F140000}"/>
    <cellStyle name="Ênfase5 80" xfId="5171" xr:uid="{00000000-0005-0000-0000-000030140000}"/>
    <cellStyle name="Ênfase5 81" xfId="5172" xr:uid="{00000000-0005-0000-0000-000031140000}"/>
    <cellStyle name="Ênfase5 82" xfId="5173" xr:uid="{00000000-0005-0000-0000-000032140000}"/>
    <cellStyle name="Ênfase5 83" xfId="5174" xr:uid="{00000000-0005-0000-0000-000033140000}"/>
    <cellStyle name="Ênfase5 84" xfId="5175" xr:uid="{00000000-0005-0000-0000-000034140000}"/>
    <cellStyle name="Ênfase5 85" xfId="5176" xr:uid="{00000000-0005-0000-0000-000035140000}"/>
    <cellStyle name="Ênfase5 86" xfId="5177" xr:uid="{00000000-0005-0000-0000-000036140000}"/>
    <cellStyle name="Ênfase5 87" xfId="5178" xr:uid="{00000000-0005-0000-0000-000037140000}"/>
    <cellStyle name="Ênfase5 88" xfId="5179" xr:uid="{00000000-0005-0000-0000-000038140000}"/>
    <cellStyle name="Ênfase5 89" xfId="5180" xr:uid="{00000000-0005-0000-0000-000039140000}"/>
    <cellStyle name="Ênfase5 9" xfId="5181" xr:uid="{00000000-0005-0000-0000-00003A140000}"/>
    <cellStyle name="Ênfase5 90" xfId="5182" xr:uid="{00000000-0005-0000-0000-00003B140000}"/>
    <cellStyle name="Ênfase5 91" xfId="5183" xr:uid="{00000000-0005-0000-0000-00003C140000}"/>
    <cellStyle name="Ênfase5 92" xfId="5184" xr:uid="{00000000-0005-0000-0000-00003D140000}"/>
    <cellStyle name="Ênfase5 93" xfId="5185" xr:uid="{00000000-0005-0000-0000-00003E140000}"/>
    <cellStyle name="Ênfase5 94" xfId="5186" xr:uid="{00000000-0005-0000-0000-00003F140000}"/>
    <cellStyle name="Ênfase5 95" xfId="5187" xr:uid="{00000000-0005-0000-0000-000040140000}"/>
    <cellStyle name="Ênfase5 96" xfId="5188" xr:uid="{00000000-0005-0000-0000-000041140000}"/>
    <cellStyle name="Ênfase5 97" xfId="5189" xr:uid="{00000000-0005-0000-0000-000042140000}"/>
    <cellStyle name="Ênfase5 98" xfId="5190" xr:uid="{00000000-0005-0000-0000-000043140000}"/>
    <cellStyle name="Ênfase5 99" xfId="5191" xr:uid="{00000000-0005-0000-0000-000044140000}"/>
    <cellStyle name="Ênfase6 10" xfId="5192" xr:uid="{00000000-0005-0000-0000-000045140000}"/>
    <cellStyle name="Ênfase6 100" xfId="5193" xr:uid="{00000000-0005-0000-0000-000046140000}"/>
    <cellStyle name="Ênfase6 101" xfId="5194" xr:uid="{00000000-0005-0000-0000-000047140000}"/>
    <cellStyle name="Ênfase6 102" xfId="5195" xr:uid="{00000000-0005-0000-0000-000048140000}"/>
    <cellStyle name="Ênfase6 103" xfId="5196" xr:uid="{00000000-0005-0000-0000-000049140000}"/>
    <cellStyle name="Ênfase6 104" xfId="5197" xr:uid="{00000000-0005-0000-0000-00004A140000}"/>
    <cellStyle name="Ênfase6 105" xfId="5198" xr:uid="{00000000-0005-0000-0000-00004B140000}"/>
    <cellStyle name="Ênfase6 106" xfId="5199" xr:uid="{00000000-0005-0000-0000-00004C140000}"/>
    <cellStyle name="Ênfase6 107" xfId="5200" xr:uid="{00000000-0005-0000-0000-00004D140000}"/>
    <cellStyle name="Ênfase6 108" xfId="5201" xr:uid="{00000000-0005-0000-0000-00004E140000}"/>
    <cellStyle name="Ênfase6 109" xfId="5202" xr:uid="{00000000-0005-0000-0000-00004F140000}"/>
    <cellStyle name="Ênfase6 11" xfId="5203" xr:uid="{00000000-0005-0000-0000-000050140000}"/>
    <cellStyle name="Ênfase6 110" xfId="5204" xr:uid="{00000000-0005-0000-0000-000051140000}"/>
    <cellStyle name="Ênfase6 111" xfId="5205" xr:uid="{00000000-0005-0000-0000-000052140000}"/>
    <cellStyle name="Ênfase6 112" xfId="5206" xr:uid="{00000000-0005-0000-0000-000053140000}"/>
    <cellStyle name="Ênfase6 113" xfId="5207" xr:uid="{00000000-0005-0000-0000-000054140000}"/>
    <cellStyle name="Ênfase6 114" xfId="5208" xr:uid="{00000000-0005-0000-0000-000055140000}"/>
    <cellStyle name="Ênfase6 115" xfId="5209" xr:uid="{00000000-0005-0000-0000-000056140000}"/>
    <cellStyle name="Ênfase6 116" xfId="5210" xr:uid="{00000000-0005-0000-0000-000057140000}"/>
    <cellStyle name="Ênfase6 117" xfId="5211" xr:uid="{00000000-0005-0000-0000-000058140000}"/>
    <cellStyle name="Ênfase6 118" xfId="5212" xr:uid="{00000000-0005-0000-0000-000059140000}"/>
    <cellStyle name="Ênfase6 119" xfId="5213" xr:uid="{00000000-0005-0000-0000-00005A140000}"/>
    <cellStyle name="Ênfase6 12" xfId="5214" xr:uid="{00000000-0005-0000-0000-00005B140000}"/>
    <cellStyle name="Ênfase6 120" xfId="5215" xr:uid="{00000000-0005-0000-0000-00005C140000}"/>
    <cellStyle name="Ênfase6 13" xfId="5216" xr:uid="{00000000-0005-0000-0000-00005D140000}"/>
    <cellStyle name="Ênfase6 14" xfId="5217" xr:uid="{00000000-0005-0000-0000-00005E140000}"/>
    <cellStyle name="Ênfase6 15" xfId="5218" xr:uid="{00000000-0005-0000-0000-00005F140000}"/>
    <cellStyle name="Ênfase6 16" xfId="5219" xr:uid="{00000000-0005-0000-0000-000060140000}"/>
    <cellStyle name="Ênfase6 17" xfId="5220" xr:uid="{00000000-0005-0000-0000-000061140000}"/>
    <cellStyle name="Ênfase6 18" xfId="5221" xr:uid="{00000000-0005-0000-0000-000062140000}"/>
    <cellStyle name="Ênfase6 19" xfId="5222" xr:uid="{00000000-0005-0000-0000-000063140000}"/>
    <cellStyle name="Ênfase6 2" xfId="5223" xr:uid="{00000000-0005-0000-0000-000064140000}"/>
    <cellStyle name="Ênfase6 2 2" xfId="5224" xr:uid="{00000000-0005-0000-0000-000065140000}"/>
    <cellStyle name="Ênfase6 2 2 2" xfId="5225" xr:uid="{00000000-0005-0000-0000-000066140000}"/>
    <cellStyle name="Ênfase6 2 2 2 2" xfId="5226" xr:uid="{00000000-0005-0000-0000-000067140000}"/>
    <cellStyle name="Ênfase6 2 2 2 2 2" xfId="5227" xr:uid="{00000000-0005-0000-0000-000068140000}"/>
    <cellStyle name="Ênfase6 2 2 3" xfId="5228" xr:uid="{00000000-0005-0000-0000-000069140000}"/>
    <cellStyle name="Ênfase6 2 2 4" xfId="5229" xr:uid="{00000000-0005-0000-0000-00006A140000}"/>
    <cellStyle name="Ênfase6 2 2_BD" xfId="5230" xr:uid="{00000000-0005-0000-0000-00006B140000}"/>
    <cellStyle name="Ênfase6 2 3" xfId="5231" xr:uid="{00000000-0005-0000-0000-00006C140000}"/>
    <cellStyle name="Ênfase6 2 4" xfId="5232" xr:uid="{00000000-0005-0000-0000-00006D140000}"/>
    <cellStyle name="Ênfase6 2 5" xfId="5233" xr:uid="{00000000-0005-0000-0000-00006E140000}"/>
    <cellStyle name="Ênfase6 2 6" xfId="5234" xr:uid="{00000000-0005-0000-0000-00006F140000}"/>
    <cellStyle name="Ênfase6 2 6 2" xfId="5235" xr:uid="{00000000-0005-0000-0000-000070140000}"/>
    <cellStyle name="Ênfase6 2_BD" xfId="5236" xr:uid="{00000000-0005-0000-0000-000071140000}"/>
    <cellStyle name="Ênfase6 20" xfId="5237" xr:uid="{00000000-0005-0000-0000-000072140000}"/>
    <cellStyle name="Ênfase6 21" xfId="5238" xr:uid="{00000000-0005-0000-0000-000073140000}"/>
    <cellStyle name="Ênfase6 22" xfId="5239" xr:uid="{00000000-0005-0000-0000-000074140000}"/>
    <cellStyle name="Ênfase6 23" xfId="5240" xr:uid="{00000000-0005-0000-0000-000075140000}"/>
    <cellStyle name="Ênfase6 24" xfId="5241" xr:uid="{00000000-0005-0000-0000-000076140000}"/>
    <cellStyle name="Ênfase6 25" xfId="5242" xr:uid="{00000000-0005-0000-0000-000077140000}"/>
    <cellStyle name="Ênfase6 26" xfId="5243" xr:uid="{00000000-0005-0000-0000-000078140000}"/>
    <cellStyle name="Ênfase6 27" xfId="5244" xr:uid="{00000000-0005-0000-0000-000079140000}"/>
    <cellStyle name="Ênfase6 28" xfId="5245" xr:uid="{00000000-0005-0000-0000-00007A140000}"/>
    <cellStyle name="Ênfase6 29" xfId="5246" xr:uid="{00000000-0005-0000-0000-00007B140000}"/>
    <cellStyle name="Ênfase6 3" xfId="5247" xr:uid="{00000000-0005-0000-0000-00007C140000}"/>
    <cellStyle name="Ênfase6 3 2" xfId="5248" xr:uid="{00000000-0005-0000-0000-00007D140000}"/>
    <cellStyle name="Ênfase6 3_BD" xfId="5249" xr:uid="{00000000-0005-0000-0000-00007E140000}"/>
    <cellStyle name="Ênfase6 30" xfId="5250" xr:uid="{00000000-0005-0000-0000-00007F140000}"/>
    <cellStyle name="Ênfase6 31" xfId="5251" xr:uid="{00000000-0005-0000-0000-000080140000}"/>
    <cellStyle name="Ênfase6 32" xfId="5252" xr:uid="{00000000-0005-0000-0000-000081140000}"/>
    <cellStyle name="Ênfase6 33" xfId="5253" xr:uid="{00000000-0005-0000-0000-000082140000}"/>
    <cellStyle name="Ênfase6 34" xfId="5254" xr:uid="{00000000-0005-0000-0000-000083140000}"/>
    <cellStyle name="Ênfase6 35" xfId="5255" xr:uid="{00000000-0005-0000-0000-000084140000}"/>
    <cellStyle name="Ênfase6 36" xfId="5256" xr:uid="{00000000-0005-0000-0000-000085140000}"/>
    <cellStyle name="Ênfase6 37" xfId="5257" xr:uid="{00000000-0005-0000-0000-000086140000}"/>
    <cellStyle name="Ênfase6 38" xfId="5258" xr:uid="{00000000-0005-0000-0000-000087140000}"/>
    <cellStyle name="Ênfase6 39" xfId="5259" xr:uid="{00000000-0005-0000-0000-000088140000}"/>
    <cellStyle name="Ênfase6 4" xfId="5260" xr:uid="{00000000-0005-0000-0000-000089140000}"/>
    <cellStyle name="Ênfase6 40" xfId="5261" xr:uid="{00000000-0005-0000-0000-00008A140000}"/>
    <cellStyle name="Ênfase6 41" xfId="5262" xr:uid="{00000000-0005-0000-0000-00008B140000}"/>
    <cellStyle name="Ênfase6 42" xfId="5263" xr:uid="{00000000-0005-0000-0000-00008C140000}"/>
    <cellStyle name="Ênfase6 43" xfId="5264" xr:uid="{00000000-0005-0000-0000-00008D140000}"/>
    <cellStyle name="Ênfase6 44" xfId="5265" xr:uid="{00000000-0005-0000-0000-00008E140000}"/>
    <cellStyle name="Ênfase6 45" xfId="5266" xr:uid="{00000000-0005-0000-0000-00008F140000}"/>
    <cellStyle name="Ênfase6 46" xfId="5267" xr:uid="{00000000-0005-0000-0000-000090140000}"/>
    <cellStyle name="Ênfase6 47" xfId="5268" xr:uid="{00000000-0005-0000-0000-000091140000}"/>
    <cellStyle name="Ênfase6 48" xfId="5269" xr:uid="{00000000-0005-0000-0000-000092140000}"/>
    <cellStyle name="Ênfase6 49" xfId="5270" xr:uid="{00000000-0005-0000-0000-000093140000}"/>
    <cellStyle name="Ênfase6 5" xfId="5271" xr:uid="{00000000-0005-0000-0000-000094140000}"/>
    <cellStyle name="Ênfase6 50" xfId="5272" xr:uid="{00000000-0005-0000-0000-000095140000}"/>
    <cellStyle name="Ênfase6 51" xfId="5273" xr:uid="{00000000-0005-0000-0000-000096140000}"/>
    <cellStyle name="Ênfase6 52" xfId="5274" xr:uid="{00000000-0005-0000-0000-000097140000}"/>
    <cellStyle name="Ênfase6 53" xfId="5275" xr:uid="{00000000-0005-0000-0000-000098140000}"/>
    <cellStyle name="Ênfase6 54" xfId="5276" xr:uid="{00000000-0005-0000-0000-000099140000}"/>
    <cellStyle name="Ênfase6 55" xfId="5277" xr:uid="{00000000-0005-0000-0000-00009A140000}"/>
    <cellStyle name="Ênfase6 56" xfId="5278" xr:uid="{00000000-0005-0000-0000-00009B140000}"/>
    <cellStyle name="Ênfase6 57" xfId="5279" xr:uid="{00000000-0005-0000-0000-00009C140000}"/>
    <cellStyle name="Ênfase6 58" xfId="5280" xr:uid="{00000000-0005-0000-0000-00009D140000}"/>
    <cellStyle name="Ênfase6 59" xfId="5281" xr:uid="{00000000-0005-0000-0000-00009E140000}"/>
    <cellStyle name="Ênfase6 6" xfId="5282" xr:uid="{00000000-0005-0000-0000-00009F140000}"/>
    <cellStyle name="Ênfase6 60" xfId="5283" xr:uid="{00000000-0005-0000-0000-0000A0140000}"/>
    <cellStyle name="Ênfase6 61" xfId="5284" xr:uid="{00000000-0005-0000-0000-0000A1140000}"/>
    <cellStyle name="Ênfase6 62" xfId="5285" xr:uid="{00000000-0005-0000-0000-0000A2140000}"/>
    <cellStyle name="Ênfase6 63" xfId="5286" xr:uid="{00000000-0005-0000-0000-0000A3140000}"/>
    <cellStyle name="Ênfase6 64" xfId="5287" xr:uid="{00000000-0005-0000-0000-0000A4140000}"/>
    <cellStyle name="Ênfase6 65" xfId="5288" xr:uid="{00000000-0005-0000-0000-0000A5140000}"/>
    <cellStyle name="Ênfase6 66" xfId="5289" xr:uid="{00000000-0005-0000-0000-0000A6140000}"/>
    <cellStyle name="Ênfase6 67" xfId="5290" xr:uid="{00000000-0005-0000-0000-0000A7140000}"/>
    <cellStyle name="Ênfase6 68" xfId="5291" xr:uid="{00000000-0005-0000-0000-0000A8140000}"/>
    <cellStyle name="Ênfase6 69" xfId="5292" xr:uid="{00000000-0005-0000-0000-0000A9140000}"/>
    <cellStyle name="Ênfase6 7" xfId="5293" xr:uid="{00000000-0005-0000-0000-0000AA140000}"/>
    <cellStyle name="Ênfase6 70" xfId="5294" xr:uid="{00000000-0005-0000-0000-0000AB140000}"/>
    <cellStyle name="Ênfase6 71" xfId="5295" xr:uid="{00000000-0005-0000-0000-0000AC140000}"/>
    <cellStyle name="Ênfase6 72" xfId="5296" xr:uid="{00000000-0005-0000-0000-0000AD140000}"/>
    <cellStyle name="Ênfase6 73" xfId="5297" xr:uid="{00000000-0005-0000-0000-0000AE140000}"/>
    <cellStyle name="Ênfase6 74" xfId="5298" xr:uid="{00000000-0005-0000-0000-0000AF140000}"/>
    <cellStyle name="Ênfase6 75" xfId="5299" xr:uid="{00000000-0005-0000-0000-0000B0140000}"/>
    <cellStyle name="Ênfase6 76" xfId="5300" xr:uid="{00000000-0005-0000-0000-0000B1140000}"/>
    <cellStyle name="Ênfase6 77" xfId="5301" xr:uid="{00000000-0005-0000-0000-0000B2140000}"/>
    <cellStyle name="Ênfase6 78" xfId="5302" xr:uid="{00000000-0005-0000-0000-0000B3140000}"/>
    <cellStyle name="Ênfase6 79" xfId="5303" xr:uid="{00000000-0005-0000-0000-0000B4140000}"/>
    <cellStyle name="Ênfase6 8" xfId="5304" xr:uid="{00000000-0005-0000-0000-0000B5140000}"/>
    <cellStyle name="Ênfase6 80" xfId="5305" xr:uid="{00000000-0005-0000-0000-0000B6140000}"/>
    <cellStyle name="Ênfase6 81" xfId="5306" xr:uid="{00000000-0005-0000-0000-0000B7140000}"/>
    <cellStyle name="Ênfase6 82" xfId="5307" xr:uid="{00000000-0005-0000-0000-0000B8140000}"/>
    <cellStyle name="Ênfase6 83" xfId="5308" xr:uid="{00000000-0005-0000-0000-0000B9140000}"/>
    <cellStyle name="Ênfase6 84" xfId="5309" xr:uid="{00000000-0005-0000-0000-0000BA140000}"/>
    <cellStyle name="Ênfase6 85" xfId="5310" xr:uid="{00000000-0005-0000-0000-0000BB140000}"/>
    <cellStyle name="Ênfase6 86" xfId="5311" xr:uid="{00000000-0005-0000-0000-0000BC140000}"/>
    <cellStyle name="Ênfase6 87" xfId="5312" xr:uid="{00000000-0005-0000-0000-0000BD140000}"/>
    <cellStyle name="Ênfase6 88" xfId="5313" xr:uid="{00000000-0005-0000-0000-0000BE140000}"/>
    <cellStyle name="Ênfase6 89" xfId="5314" xr:uid="{00000000-0005-0000-0000-0000BF140000}"/>
    <cellStyle name="Ênfase6 9" xfId="5315" xr:uid="{00000000-0005-0000-0000-0000C0140000}"/>
    <cellStyle name="Ênfase6 90" xfId="5316" xr:uid="{00000000-0005-0000-0000-0000C1140000}"/>
    <cellStyle name="Ênfase6 91" xfId="5317" xr:uid="{00000000-0005-0000-0000-0000C2140000}"/>
    <cellStyle name="Ênfase6 92" xfId="5318" xr:uid="{00000000-0005-0000-0000-0000C3140000}"/>
    <cellStyle name="Ênfase6 93" xfId="5319" xr:uid="{00000000-0005-0000-0000-0000C4140000}"/>
    <cellStyle name="Ênfase6 94" xfId="5320" xr:uid="{00000000-0005-0000-0000-0000C5140000}"/>
    <cellStyle name="Ênfase6 95" xfId="5321" xr:uid="{00000000-0005-0000-0000-0000C6140000}"/>
    <cellStyle name="Ênfase6 96" xfId="5322" xr:uid="{00000000-0005-0000-0000-0000C7140000}"/>
    <cellStyle name="Ênfase6 97" xfId="5323" xr:uid="{00000000-0005-0000-0000-0000C8140000}"/>
    <cellStyle name="Ênfase6 98" xfId="5324" xr:uid="{00000000-0005-0000-0000-0000C9140000}"/>
    <cellStyle name="Ênfase6 99" xfId="5325" xr:uid="{00000000-0005-0000-0000-0000CA140000}"/>
    <cellStyle name="Entrada 10" xfId="5326" xr:uid="{00000000-0005-0000-0000-0000CB140000}"/>
    <cellStyle name="Entrada 10 2" xfId="5327" xr:uid="{00000000-0005-0000-0000-0000CC140000}"/>
    <cellStyle name="Entrada 10_Estoque Atual" xfId="5328" xr:uid="{00000000-0005-0000-0000-0000CD140000}"/>
    <cellStyle name="Entrada 100" xfId="5329" xr:uid="{00000000-0005-0000-0000-0000CE140000}"/>
    <cellStyle name="Entrada 101" xfId="5330" xr:uid="{00000000-0005-0000-0000-0000CF140000}"/>
    <cellStyle name="Entrada 102" xfId="5331" xr:uid="{00000000-0005-0000-0000-0000D0140000}"/>
    <cellStyle name="Entrada 103" xfId="5332" xr:uid="{00000000-0005-0000-0000-0000D1140000}"/>
    <cellStyle name="Entrada 104" xfId="5333" xr:uid="{00000000-0005-0000-0000-0000D2140000}"/>
    <cellStyle name="Entrada 105" xfId="5334" xr:uid="{00000000-0005-0000-0000-0000D3140000}"/>
    <cellStyle name="Entrada 106" xfId="5335" xr:uid="{00000000-0005-0000-0000-0000D4140000}"/>
    <cellStyle name="Entrada 107" xfId="5336" xr:uid="{00000000-0005-0000-0000-0000D5140000}"/>
    <cellStyle name="Entrada 108" xfId="5337" xr:uid="{00000000-0005-0000-0000-0000D6140000}"/>
    <cellStyle name="Entrada 109" xfId="5338" xr:uid="{00000000-0005-0000-0000-0000D7140000}"/>
    <cellStyle name="Entrada 11" xfId="5339" xr:uid="{00000000-0005-0000-0000-0000D8140000}"/>
    <cellStyle name="Entrada 11 2" xfId="5340" xr:uid="{00000000-0005-0000-0000-0000D9140000}"/>
    <cellStyle name="Entrada 11_Estoque Atual" xfId="5341" xr:uid="{00000000-0005-0000-0000-0000DA140000}"/>
    <cellStyle name="Entrada 110" xfId="5342" xr:uid="{00000000-0005-0000-0000-0000DB140000}"/>
    <cellStyle name="Entrada 111" xfId="5343" xr:uid="{00000000-0005-0000-0000-0000DC140000}"/>
    <cellStyle name="Entrada 112" xfId="5344" xr:uid="{00000000-0005-0000-0000-0000DD140000}"/>
    <cellStyle name="Entrada 113" xfId="5345" xr:uid="{00000000-0005-0000-0000-0000DE140000}"/>
    <cellStyle name="Entrada 114" xfId="5346" xr:uid="{00000000-0005-0000-0000-0000DF140000}"/>
    <cellStyle name="Entrada 115" xfId="5347" xr:uid="{00000000-0005-0000-0000-0000E0140000}"/>
    <cellStyle name="Entrada 116" xfId="5348" xr:uid="{00000000-0005-0000-0000-0000E1140000}"/>
    <cellStyle name="Entrada 117" xfId="5349" xr:uid="{00000000-0005-0000-0000-0000E2140000}"/>
    <cellStyle name="Entrada 118" xfId="5350" xr:uid="{00000000-0005-0000-0000-0000E3140000}"/>
    <cellStyle name="Entrada 119" xfId="5351" xr:uid="{00000000-0005-0000-0000-0000E4140000}"/>
    <cellStyle name="Entrada 12" xfId="5352" xr:uid="{00000000-0005-0000-0000-0000E5140000}"/>
    <cellStyle name="Entrada 12 2" xfId="5353" xr:uid="{00000000-0005-0000-0000-0000E6140000}"/>
    <cellStyle name="Entrada 12_Estoque Atual" xfId="5354" xr:uid="{00000000-0005-0000-0000-0000E7140000}"/>
    <cellStyle name="Entrada 120" xfId="5355" xr:uid="{00000000-0005-0000-0000-0000E8140000}"/>
    <cellStyle name="Entrada 13" xfId="5356" xr:uid="{00000000-0005-0000-0000-0000E9140000}"/>
    <cellStyle name="Entrada 13 2" xfId="5357" xr:uid="{00000000-0005-0000-0000-0000EA140000}"/>
    <cellStyle name="Entrada 13_Estoque Atual" xfId="5358" xr:uid="{00000000-0005-0000-0000-0000EB140000}"/>
    <cellStyle name="Entrada 14" xfId="5359" xr:uid="{00000000-0005-0000-0000-0000EC140000}"/>
    <cellStyle name="Entrada 14 2" xfId="5360" xr:uid="{00000000-0005-0000-0000-0000ED140000}"/>
    <cellStyle name="Entrada 14_Estoque Atual" xfId="5361" xr:uid="{00000000-0005-0000-0000-0000EE140000}"/>
    <cellStyle name="Entrada 15" xfId="5362" xr:uid="{00000000-0005-0000-0000-0000EF140000}"/>
    <cellStyle name="Entrada 15 2" xfId="5363" xr:uid="{00000000-0005-0000-0000-0000F0140000}"/>
    <cellStyle name="Entrada 15_Estoque Atual" xfId="5364" xr:uid="{00000000-0005-0000-0000-0000F1140000}"/>
    <cellStyle name="Entrada 16" xfId="5365" xr:uid="{00000000-0005-0000-0000-0000F2140000}"/>
    <cellStyle name="Entrada 16 2" xfId="5366" xr:uid="{00000000-0005-0000-0000-0000F3140000}"/>
    <cellStyle name="Entrada 16_Estoque Atual" xfId="5367" xr:uid="{00000000-0005-0000-0000-0000F4140000}"/>
    <cellStyle name="Entrada 17" xfId="5368" xr:uid="{00000000-0005-0000-0000-0000F5140000}"/>
    <cellStyle name="Entrada 17 2" xfId="5369" xr:uid="{00000000-0005-0000-0000-0000F6140000}"/>
    <cellStyle name="Entrada 17_Estoque Atual" xfId="5370" xr:uid="{00000000-0005-0000-0000-0000F7140000}"/>
    <cellStyle name="Entrada 18" xfId="5371" xr:uid="{00000000-0005-0000-0000-0000F8140000}"/>
    <cellStyle name="Entrada 18 2" xfId="5372" xr:uid="{00000000-0005-0000-0000-0000F9140000}"/>
    <cellStyle name="Entrada 18_Estoque Atual" xfId="5373" xr:uid="{00000000-0005-0000-0000-0000FA140000}"/>
    <cellStyle name="Entrada 19" xfId="5374" xr:uid="{00000000-0005-0000-0000-0000FB140000}"/>
    <cellStyle name="Entrada 19 2" xfId="5375" xr:uid="{00000000-0005-0000-0000-0000FC140000}"/>
    <cellStyle name="Entrada 19_Estoque Atual" xfId="5376" xr:uid="{00000000-0005-0000-0000-0000FD140000}"/>
    <cellStyle name="Entrada 2" xfId="5377" xr:uid="{00000000-0005-0000-0000-0000FE140000}"/>
    <cellStyle name="Entrada 2 2" xfId="5378" xr:uid="{00000000-0005-0000-0000-0000FF140000}"/>
    <cellStyle name="Entrada 2 2 2" xfId="5379" xr:uid="{00000000-0005-0000-0000-000000150000}"/>
    <cellStyle name="Entrada 2 2 2 2" xfId="5380" xr:uid="{00000000-0005-0000-0000-000001150000}"/>
    <cellStyle name="Entrada 2 2 2 2 2" xfId="5381" xr:uid="{00000000-0005-0000-0000-000002150000}"/>
    <cellStyle name="Entrada 2 2 3" xfId="5382" xr:uid="{00000000-0005-0000-0000-000003150000}"/>
    <cellStyle name="Entrada 2 2 4" xfId="5383" xr:uid="{00000000-0005-0000-0000-000004150000}"/>
    <cellStyle name="Entrada 2 2_BD" xfId="5384" xr:uid="{00000000-0005-0000-0000-000005150000}"/>
    <cellStyle name="Entrada 2 3" xfId="5385" xr:uid="{00000000-0005-0000-0000-000006150000}"/>
    <cellStyle name="Entrada 2 4" xfId="5386" xr:uid="{00000000-0005-0000-0000-000007150000}"/>
    <cellStyle name="Entrada 2 5" xfId="5387" xr:uid="{00000000-0005-0000-0000-000008150000}"/>
    <cellStyle name="Entrada 2 6" xfId="5388" xr:uid="{00000000-0005-0000-0000-000009150000}"/>
    <cellStyle name="Entrada 2 6 2" xfId="5389" xr:uid="{00000000-0005-0000-0000-00000A150000}"/>
    <cellStyle name="Entrada 2_BD" xfId="5390" xr:uid="{00000000-0005-0000-0000-00000B150000}"/>
    <cellStyle name="Entrada 20" xfId="5391" xr:uid="{00000000-0005-0000-0000-00000C150000}"/>
    <cellStyle name="Entrada 20 2" xfId="5392" xr:uid="{00000000-0005-0000-0000-00000D150000}"/>
    <cellStyle name="Entrada 20_Estoque Atual" xfId="5393" xr:uid="{00000000-0005-0000-0000-00000E150000}"/>
    <cellStyle name="Entrada 21" xfId="5394" xr:uid="{00000000-0005-0000-0000-00000F150000}"/>
    <cellStyle name="Entrada 21 2" xfId="5395" xr:uid="{00000000-0005-0000-0000-000010150000}"/>
    <cellStyle name="Entrada 21_Estoque Atual" xfId="5396" xr:uid="{00000000-0005-0000-0000-000011150000}"/>
    <cellStyle name="Entrada 22" xfId="5397" xr:uid="{00000000-0005-0000-0000-000012150000}"/>
    <cellStyle name="Entrada 22 2" xfId="5398" xr:uid="{00000000-0005-0000-0000-000013150000}"/>
    <cellStyle name="Entrada 22_Estoque Atual" xfId="5399" xr:uid="{00000000-0005-0000-0000-000014150000}"/>
    <cellStyle name="Entrada 23" xfId="5400" xr:uid="{00000000-0005-0000-0000-000015150000}"/>
    <cellStyle name="Entrada 23 2" xfId="5401" xr:uid="{00000000-0005-0000-0000-000016150000}"/>
    <cellStyle name="Entrada 23_Estoque Atual" xfId="5402" xr:uid="{00000000-0005-0000-0000-000017150000}"/>
    <cellStyle name="Entrada 24" xfId="5403" xr:uid="{00000000-0005-0000-0000-000018150000}"/>
    <cellStyle name="Entrada 24 2" xfId="5404" xr:uid="{00000000-0005-0000-0000-000019150000}"/>
    <cellStyle name="Entrada 24_Estoque Atual" xfId="5405" xr:uid="{00000000-0005-0000-0000-00001A150000}"/>
    <cellStyle name="Entrada 25" xfId="5406" xr:uid="{00000000-0005-0000-0000-00001B150000}"/>
    <cellStyle name="Entrada 25 2" xfId="5407" xr:uid="{00000000-0005-0000-0000-00001C150000}"/>
    <cellStyle name="Entrada 25_Estoque Atual" xfId="5408" xr:uid="{00000000-0005-0000-0000-00001D150000}"/>
    <cellStyle name="Entrada 26" xfId="5409" xr:uid="{00000000-0005-0000-0000-00001E150000}"/>
    <cellStyle name="Entrada 26 2" xfId="5410" xr:uid="{00000000-0005-0000-0000-00001F150000}"/>
    <cellStyle name="Entrada 26_Estoque Atual" xfId="5411" xr:uid="{00000000-0005-0000-0000-000020150000}"/>
    <cellStyle name="Entrada 27" xfId="5412" xr:uid="{00000000-0005-0000-0000-000021150000}"/>
    <cellStyle name="Entrada 27 2" xfId="5413" xr:uid="{00000000-0005-0000-0000-000022150000}"/>
    <cellStyle name="Entrada 27_Estoque Atual" xfId="5414" xr:uid="{00000000-0005-0000-0000-000023150000}"/>
    <cellStyle name="Entrada 28" xfId="5415" xr:uid="{00000000-0005-0000-0000-000024150000}"/>
    <cellStyle name="Entrada 28 2" xfId="5416" xr:uid="{00000000-0005-0000-0000-000025150000}"/>
    <cellStyle name="Entrada 28_Estoque Atual" xfId="5417" xr:uid="{00000000-0005-0000-0000-000026150000}"/>
    <cellStyle name="Entrada 29" xfId="5418" xr:uid="{00000000-0005-0000-0000-000027150000}"/>
    <cellStyle name="Entrada 29 2" xfId="5419" xr:uid="{00000000-0005-0000-0000-000028150000}"/>
    <cellStyle name="Entrada 29_Estoque Atual" xfId="5420" xr:uid="{00000000-0005-0000-0000-000029150000}"/>
    <cellStyle name="Entrada 3" xfId="5421" xr:uid="{00000000-0005-0000-0000-00002A150000}"/>
    <cellStyle name="Entrada 3 2" xfId="5422" xr:uid="{00000000-0005-0000-0000-00002B150000}"/>
    <cellStyle name="Entrada 3 3" xfId="5423" xr:uid="{00000000-0005-0000-0000-00002C150000}"/>
    <cellStyle name="Entrada 3_BD" xfId="5424" xr:uid="{00000000-0005-0000-0000-00002D150000}"/>
    <cellStyle name="Entrada 30" xfId="5425" xr:uid="{00000000-0005-0000-0000-00002E150000}"/>
    <cellStyle name="Entrada 31" xfId="5426" xr:uid="{00000000-0005-0000-0000-00002F150000}"/>
    <cellStyle name="Entrada 32" xfId="5427" xr:uid="{00000000-0005-0000-0000-000030150000}"/>
    <cellStyle name="Entrada 33" xfId="5428" xr:uid="{00000000-0005-0000-0000-000031150000}"/>
    <cellStyle name="Entrada 34" xfId="5429" xr:uid="{00000000-0005-0000-0000-000032150000}"/>
    <cellStyle name="Entrada 35" xfId="5430" xr:uid="{00000000-0005-0000-0000-000033150000}"/>
    <cellStyle name="Entrada 35 2" xfId="5431" xr:uid="{00000000-0005-0000-0000-000034150000}"/>
    <cellStyle name="Entrada 35_Planejamento PCP" xfId="5432" xr:uid="{00000000-0005-0000-0000-000035150000}"/>
    <cellStyle name="Entrada 36" xfId="5433" xr:uid="{00000000-0005-0000-0000-000036150000}"/>
    <cellStyle name="Entrada 36 2" xfId="5434" xr:uid="{00000000-0005-0000-0000-000037150000}"/>
    <cellStyle name="Entrada 36_Planejamento PCP" xfId="5435" xr:uid="{00000000-0005-0000-0000-000038150000}"/>
    <cellStyle name="Entrada 37" xfId="5436" xr:uid="{00000000-0005-0000-0000-000039150000}"/>
    <cellStyle name="Entrada 37 2" xfId="5437" xr:uid="{00000000-0005-0000-0000-00003A150000}"/>
    <cellStyle name="Entrada 37_Planejamento PCP" xfId="5438" xr:uid="{00000000-0005-0000-0000-00003B150000}"/>
    <cellStyle name="Entrada 38" xfId="5439" xr:uid="{00000000-0005-0000-0000-00003C150000}"/>
    <cellStyle name="Entrada 38 2" xfId="5440" xr:uid="{00000000-0005-0000-0000-00003D150000}"/>
    <cellStyle name="Entrada 38_Planejamento PCP" xfId="5441" xr:uid="{00000000-0005-0000-0000-00003E150000}"/>
    <cellStyle name="Entrada 39" xfId="5442" xr:uid="{00000000-0005-0000-0000-00003F150000}"/>
    <cellStyle name="Entrada 39 2" xfId="5443" xr:uid="{00000000-0005-0000-0000-000040150000}"/>
    <cellStyle name="Entrada 39_Planejamento PCP" xfId="5444" xr:uid="{00000000-0005-0000-0000-000041150000}"/>
    <cellStyle name="Entrada 4" xfId="5445" xr:uid="{00000000-0005-0000-0000-000042150000}"/>
    <cellStyle name="Entrada 4 2" xfId="5446" xr:uid="{00000000-0005-0000-0000-000043150000}"/>
    <cellStyle name="Entrada 4_Estoque Atual" xfId="5447" xr:uid="{00000000-0005-0000-0000-000044150000}"/>
    <cellStyle name="Entrada 40" xfId="5448" xr:uid="{00000000-0005-0000-0000-000045150000}"/>
    <cellStyle name="Entrada 40 2" xfId="5449" xr:uid="{00000000-0005-0000-0000-000046150000}"/>
    <cellStyle name="Entrada 40_Planejamento PCP" xfId="5450" xr:uid="{00000000-0005-0000-0000-000047150000}"/>
    <cellStyle name="Entrada 41" xfId="5451" xr:uid="{00000000-0005-0000-0000-000048150000}"/>
    <cellStyle name="Entrada 42" xfId="5452" xr:uid="{00000000-0005-0000-0000-000049150000}"/>
    <cellStyle name="Entrada 43" xfId="5453" xr:uid="{00000000-0005-0000-0000-00004A150000}"/>
    <cellStyle name="Entrada 44" xfId="5454" xr:uid="{00000000-0005-0000-0000-00004B150000}"/>
    <cellStyle name="Entrada 45" xfId="5455" xr:uid="{00000000-0005-0000-0000-00004C150000}"/>
    <cellStyle name="Entrada 46" xfId="5456" xr:uid="{00000000-0005-0000-0000-00004D150000}"/>
    <cellStyle name="Entrada 47" xfId="5457" xr:uid="{00000000-0005-0000-0000-00004E150000}"/>
    <cellStyle name="Entrada 48" xfId="5458" xr:uid="{00000000-0005-0000-0000-00004F150000}"/>
    <cellStyle name="Entrada 49" xfId="5459" xr:uid="{00000000-0005-0000-0000-000050150000}"/>
    <cellStyle name="Entrada 5" xfId="5460" xr:uid="{00000000-0005-0000-0000-000051150000}"/>
    <cellStyle name="Entrada 5 2" xfId="5461" xr:uid="{00000000-0005-0000-0000-000052150000}"/>
    <cellStyle name="Entrada 5_Estoque Atual" xfId="5462" xr:uid="{00000000-0005-0000-0000-000053150000}"/>
    <cellStyle name="Entrada 50" xfId="5463" xr:uid="{00000000-0005-0000-0000-000054150000}"/>
    <cellStyle name="Entrada 51" xfId="5464" xr:uid="{00000000-0005-0000-0000-000055150000}"/>
    <cellStyle name="Entrada 52" xfId="5465" xr:uid="{00000000-0005-0000-0000-000056150000}"/>
    <cellStyle name="Entrada 53" xfId="5466" xr:uid="{00000000-0005-0000-0000-000057150000}"/>
    <cellStyle name="Entrada 54" xfId="5467" xr:uid="{00000000-0005-0000-0000-000058150000}"/>
    <cellStyle name="Entrada 55" xfId="5468" xr:uid="{00000000-0005-0000-0000-000059150000}"/>
    <cellStyle name="Entrada 56" xfId="5469" xr:uid="{00000000-0005-0000-0000-00005A150000}"/>
    <cellStyle name="Entrada 57" xfId="5470" xr:uid="{00000000-0005-0000-0000-00005B150000}"/>
    <cellStyle name="Entrada 58" xfId="5471" xr:uid="{00000000-0005-0000-0000-00005C150000}"/>
    <cellStyle name="Entrada 59" xfId="5472" xr:uid="{00000000-0005-0000-0000-00005D150000}"/>
    <cellStyle name="Entrada 6" xfId="5473" xr:uid="{00000000-0005-0000-0000-00005E150000}"/>
    <cellStyle name="Entrada 6 2" xfId="5474" xr:uid="{00000000-0005-0000-0000-00005F150000}"/>
    <cellStyle name="Entrada 6_Estoque Atual" xfId="5475" xr:uid="{00000000-0005-0000-0000-000060150000}"/>
    <cellStyle name="Entrada 60" xfId="5476" xr:uid="{00000000-0005-0000-0000-000061150000}"/>
    <cellStyle name="Entrada 61" xfId="5477" xr:uid="{00000000-0005-0000-0000-000062150000}"/>
    <cellStyle name="Entrada 62" xfId="5478" xr:uid="{00000000-0005-0000-0000-000063150000}"/>
    <cellStyle name="Entrada 63" xfId="5479" xr:uid="{00000000-0005-0000-0000-000064150000}"/>
    <cellStyle name="Entrada 64" xfId="5480" xr:uid="{00000000-0005-0000-0000-000065150000}"/>
    <cellStyle name="Entrada 65" xfId="5481" xr:uid="{00000000-0005-0000-0000-000066150000}"/>
    <cellStyle name="Entrada 66" xfId="5482" xr:uid="{00000000-0005-0000-0000-000067150000}"/>
    <cellStyle name="Entrada 67" xfId="5483" xr:uid="{00000000-0005-0000-0000-000068150000}"/>
    <cellStyle name="Entrada 68" xfId="5484" xr:uid="{00000000-0005-0000-0000-000069150000}"/>
    <cellStyle name="Entrada 69" xfId="5485" xr:uid="{00000000-0005-0000-0000-00006A150000}"/>
    <cellStyle name="Entrada 7" xfId="5486" xr:uid="{00000000-0005-0000-0000-00006B150000}"/>
    <cellStyle name="Entrada 7 2" xfId="5487" xr:uid="{00000000-0005-0000-0000-00006C150000}"/>
    <cellStyle name="Entrada 7_Estoque Atual" xfId="5488" xr:uid="{00000000-0005-0000-0000-00006D150000}"/>
    <cellStyle name="Entrada 70" xfId="5489" xr:uid="{00000000-0005-0000-0000-00006E150000}"/>
    <cellStyle name="Entrada 71" xfId="5490" xr:uid="{00000000-0005-0000-0000-00006F150000}"/>
    <cellStyle name="Entrada 72" xfId="5491" xr:uid="{00000000-0005-0000-0000-000070150000}"/>
    <cellStyle name="Entrada 73" xfId="5492" xr:uid="{00000000-0005-0000-0000-000071150000}"/>
    <cellStyle name="Entrada 74" xfId="5493" xr:uid="{00000000-0005-0000-0000-000072150000}"/>
    <cellStyle name="Entrada 75" xfId="5494" xr:uid="{00000000-0005-0000-0000-000073150000}"/>
    <cellStyle name="Entrada 76" xfId="5495" xr:uid="{00000000-0005-0000-0000-000074150000}"/>
    <cellStyle name="Entrada 77" xfId="5496" xr:uid="{00000000-0005-0000-0000-000075150000}"/>
    <cellStyle name="Entrada 78" xfId="5497" xr:uid="{00000000-0005-0000-0000-000076150000}"/>
    <cellStyle name="Entrada 79" xfId="5498" xr:uid="{00000000-0005-0000-0000-000077150000}"/>
    <cellStyle name="Entrada 8" xfId="5499" xr:uid="{00000000-0005-0000-0000-000078150000}"/>
    <cellStyle name="Entrada 8 2" xfId="5500" xr:uid="{00000000-0005-0000-0000-000079150000}"/>
    <cellStyle name="Entrada 8_Estoque Atual" xfId="5501" xr:uid="{00000000-0005-0000-0000-00007A150000}"/>
    <cellStyle name="Entrada 80" xfId="5502" xr:uid="{00000000-0005-0000-0000-00007B150000}"/>
    <cellStyle name="Entrada 81" xfId="5503" xr:uid="{00000000-0005-0000-0000-00007C150000}"/>
    <cellStyle name="Entrada 82" xfId="5504" xr:uid="{00000000-0005-0000-0000-00007D150000}"/>
    <cellStyle name="Entrada 83" xfId="5505" xr:uid="{00000000-0005-0000-0000-00007E150000}"/>
    <cellStyle name="Entrada 84" xfId="5506" xr:uid="{00000000-0005-0000-0000-00007F150000}"/>
    <cellStyle name="Entrada 85" xfId="5507" xr:uid="{00000000-0005-0000-0000-000080150000}"/>
    <cellStyle name="Entrada 86" xfId="5508" xr:uid="{00000000-0005-0000-0000-000081150000}"/>
    <cellStyle name="Entrada 87" xfId="5509" xr:uid="{00000000-0005-0000-0000-000082150000}"/>
    <cellStyle name="Entrada 88" xfId="5510" xr:uid="{00000000-0005-0000-0000-000083150000}"/>
    <cellStyle name="Entrada 89" xfId="5511" xr:uid="{00000000-0005-0000-0000-000084150000}"/>
    <cellStyle name="Entrada 9" xfId="5512" xr:uid="{00000000-0005-0000-0000-000085150000}"/>
    <cellStyle name="Entrada 9 2" xfId="5513" xr:uid="{00000000-0005-0000-0000-000086150000}"/>
    <cellStyle name="Entrada 9_Estoque Atual" xfId="5514" xr:uid="{00000000-0005-0000-0000-000087150000}"/>
    <cellStyle name="Entrada 90" xfId="5515" xr:uid="{00000000-0005-0000-0000-000088150000}"/>
    <cellStyle name="Entrada 91" xfId="5516" xr:uid="{00000000-0005-0000-0000-000089150000}"/>
    <cellStyle name="Entrada 92" xfId="5517" xr:uid="{00000000-0005-0000-0000-00008A150000}"/>
    <cellStyle name="Entrada 93" xfId="5518" xr:uid="{00000000-0005-0000-0000-00008B150000}"/>
    <cellStyle name="Entrada 94" xfId="5519" xr:uid="{00000000-0005-0000-0000-00008C150000}"/>
    <cellStyle name="Entrada 95" xfId="5520" xr:uid="{00000000-0005-0000-0000-00008D150000}"/>
    <cellStyle name="Entrada 96" xfId="5521" xr:uid="{00000000-0005-0000-0000-00008E150000}"/>
    <cellStyle name="Entrada 97" xfId="5522" xr:uid="{00000000-0005-0000-0000-00008F150000}"/>
    <cellStyle name="Entrada 98" xfId="5523" xr:uid="{00000000-0005-0000-0000-000090150000}"/>
    <cellStyle name="Entrada 99" xfId="5524" xr:uid="{00000000-0005-0000-0000-000091150000}"/>
    <cellStyle name="Euro" xfId="5525" xr:uid="{00000000-0005-0000-0000-000092150000}"/>
    <cellStyle name="Incorreto 10" xfId="5526" xr:uid="{00000000-0005-0000-0000-000093150000}"/>
    <cellStyle name="Incorreto 100" xfId="5527" xr:uid="{00000000-0005-0000-0000-000094150000}"/>
    <cellStyle name="Incorreto 101" xfId="5528" xr:uid="{00000000-0005-0000-0000-000095150000}"/>
    <cellStyle name="Incorreto 102" xfId="5529" xr:uid="{00000000-0005-0000-0000-000096150000}"/>
    <cellStyle name="Incorreto 103" xfId="5530" xr:uid="{00000000-0005-0000-0000-000097150000}"/>
    <cellStyle name="Incorreto 104" xfId="5531" xr:uid="{00000000-0005-0000-0000-000098150000}"/>
    <cellStyle name="Incorreto 105" xfId="5532" xr:uid="{00000000-0005-0000-0000-000099150000}"/>
    <cellStyle name="Incorreto 106" xfId="5533" xr:uid="{00000000-0005-0000-0000-00009A150000}"/>
    <cellStyle name="Incorreto 107" xfId="5534" xr:uid="{00000000-0005-0000-0000-00009B150000}"/>
    <cellStyle name="Incorreto 108" xfId="5535" xr:uid="{00000000-0005-0000-0000-00009C150000}"/>
    <cellStyle name="Incorreto 109" xfId="5536" xr:uid="{00000000-0005-0000-0000-00009D150000}"/>
    <cellStyle name="Incorreto 11" xfId="5537" xr:uid="{00000000-0005-0000-0000-00009E150000}"/>
    <cellStyle name="Incorreto 110" xfId="5538" xr:uid="{00000000-0005-0000-0000-00009F150000}"/>
    <cellStyle name="Incorreto 111" xfId="5539" xr:uid="{00000000-0005-0000-0000-0000A0150000}"/>
    <cellStyle name="Incorreto 112" xfId="5540" xr:uid="{00000000-0005-0000-0000-0000A1150000}"/>
    <cellStyle name="Incorreto 113" xfId="5541" xr:uid="{00000000-0005-0000-0000-0000A2150000}"/>
    <cellStyle name="Incorreto 114" xfId="5542" xr:uid="{00000000-0005-0000-0000-0000A3150000}"/>
    <cellStyle name="Incorreto 115" xfId="5543" xr:uid="{00000000-0005-0000-0000-0000A4150000}"/>
    <cellStyle name="Incorreto 116" xfId="5544" xr:uid="{00000000-0005-0000-0000-0000A5150000}"/>
    <cellStyle name="Incorreto 117" xfId="5545" xr:uid="{00000000-0005-0000-0000-0000A6150000}"/>
    <cellStyle name="Incorreto 118" xfId="5546" xr:uid="{00000000-0005-0000-0000-0000A7150000}"/>
    <cellStyle name="Incorreto 119" xfId="5547" xr:uid="{00000000-0005-0000-0000-0000A8150000}"/>
    <cellStyle name="Incorreto 12" xfId="5548" xr:uid="{00000000-0005-0000-0000-0000A9150000}"/>
    <cellStyle name="Incorreto 120" xfId="5549" xr:uid="{00000000-0005-0000-0000-0000AA150000}"/>
    <cellStyle name="Incorreto 13" xfId="5550" xr:uid="{00000000-0005-0000-0000-0000AB150000}"/>
    <cellStyle name="Incorreto 14" xfId="5551" xr:uid="{00000000-0005-0000-0000-0000AC150000}"/>
    <cellStyle name="Incorreto 15" xfId="5552" xr:uid="{00000000-0005-0000-0000-0000AD150000}"/>
    <cellStyle name="Incorreto 16" xfId="5553" xr:uid="{00000000-0005-0000-0000-0000AE150000}"/>
    <cellStyle name="Incorreto 17" xfId="5554" xr:uid="{00000000-0005-0000-0000-0000AF150000}"/>
    <cellStyle name="Incorreto 18" xfId="5555" xr:uid="{00000000-0005-0000-0000-0000B0150000}"/>
    <cellStyle name="Incorreto 19" xfId="5556" xr:uid="{00000000-0005-0000-0000-0000B1150000}"/>
    <cellStyle name="Incorreto 2" xfId="5557" xr:uid="{00000000-0005-0000-0000-0000B2150000}"/>
    <cellStyle name="Incorreto 2 2" xfId="5558" xr:uid="{00000000-0005-0000-0000-0000B3150000}"/>
    <cellStyle name="Incorreto 2 2 2" xfId="5559" xr:uid="{00000000-0005-0000-0000-0000B4150000}"/>
    <cellStyle name="Incorreto 2 2 2 2" xfId="5560" xr:uid="{00000000-0005-0000-0000-0000B5150000}"/>
    <cellStyle name="Incorreto 2 2 2 2 2" xfId="5561" xr:uid="{00000000-0005-0000-0000-0000B6150000}"/>
    <cellStyle name="Incorreto 2 2 3" xfId="5562" xr:uid="{00000000-0005-0000-0000-0000B7150000}"/>
    <cellStyle name="Incorreto 2 2 4" xfId="5563" xr:uid="{00000000-0005-0000-0000-0000B8150000}"/>
    <cellStyle name="Incorreto 2 2_BD" xfId="5564" xr:uid="{00000000-0005-0000-0000-0000B9150000}"/>
    <cellStyle name="Incorreto 2 3" xfId="5565" xr:uid="{00000000-0005-0000-0000-0000BA150000}"/>
    <cellStyle name="Incorreto 2 4" xfId="5566" xr:uid="{00000000-0005-0000-0000-0000BB150000}"/>
    <cellStyle name="Incorreto 2 5" xfId="5567" xr:uid="{00000000-0005-0000-0000-0000BC150000}"/>
    <cellStyle name="Incorreto 2 6" xfId="5568" xr:uid="{00000000-0005-0000-0000-0000BD150000}"/>
    <cellStyle name="Incorreto 2 6 2" xfId="5569" xr:uid="{00000000-0005-0000-0000-0000BE150000}"/>
    <cellStyle name="Incorreto 2_BD" xfId="5570" xr:uid="{00000000-0005-0000-0000-0000BF150000}"/>
    <cellStyle name="Incorreto 20" xfId="5571" xr:uid="{00000000-0005-0000-0000-0000C0150000}"/>
    <cellStyle name="Incorreto 21" xfId="5572" xr:uid="{00000000-0005-0000-0000-0000C1150000}"/>
    <cellStyle name="Incorreto 22" xfId="5573" xr:uid="{00000000-0005-0000-0000-0000C2150000}"/>
    <cellStyle name="Incorreto 23" xfId="5574" xr:uid="{00000000-0005-0000-0000-0000C3150000}"/>
    <cellStyle name="Incorreto 24" xfId="5575" xr:uid="{00000000-0005-0000-0000-0000C4150000}"/>
    <cellStyle name="Incorreto 25" xfId="5576" xr:uid="{00000000-0005-0000-0000-0000C5150000}"/>
    <cellStyle name="Incorreto 26" xfId="5577" xr:uid="{00000000-0005-0000-0000-0000C6150000}"/>
    <cellStyle name="Incorreto 27" xfId="5578" xr:uid="{00000000-0005-0000-0000-0000C7150000}"/>
    <cellStyle name="Incorreto 28" xfId="5579" xr:uid="{00000000-0005-0000-0000-0000C8150000}"/>
    <cellStyle name="Incorreto 29" xfId="5580" xr:uid="{00000000-0005-0000-0000-0000C9150000}"/>
    <cellStyle name="Incorreto 3" xfId="5581" xr:uid="{00000000-0005-0000-0000-0000CA150000}"/>
    <cellStyle name="Incorreto 3 2" xfId="5582" xr:uid="{00000000-0005-0000-0000-0000CB150000}"/>
    <cellStyle name="Incorreto 3_BD" xfId="5583" xr:uid="{00000000-0005-0000-0000-0000CC150000}"/>
    <cellStyle name="Incorreto 30" xfId="5584" xr:uid="{00000000-0005-0000-0000-0000CD150000}"/>
    <cellStyle name="Incorreto 31" xfId="5585" xr:uid="{00000000-0005-0000-0000-0000CE150000}"/>
    <cellStyle name="Incorreto 32" xfId="5586" xr:uid="{00000000-0005-0000-0000-0000CF150000}"/>
    <cellStyle name="Incorreto 33" xfId="5587" xr:uid="{00000000-0005-0000-0000-0000D0150000}"/>
    <cellStyle name="Incorreto 34" xfId="5588" xr:uid="{00000000-0005-0000-0000-0000D1150000}"/>
    <cellStyle name="Incorreto 35" xfId="5589" xr:uid="{00000000-0005-0000-0000-0000D2150000}"/>
    <cellStyle name="Incorreto 36" xfId="5590" xr:uid="{00000000-0005-0000-0000-0000D3150000}"/>
    <cellStyle name="Incorreto 37" xfId="5591" xr:uid="{00000000-0005-0000-0000-0000D4150000}"/>
    <cellStyle name="Incorreto 38" xfId="5592" xr:uid="{00000000-0005-0000-0000-0000D5150000}"/>
    <cellStyle name="Incorreto 39" xfId="5593" xr:uid="{00000000-0005-0000-0000-0000D6150000}"/>
    <cellStyle name="Incorreto 4" xfId="5594" xr:uid="{00000000-0005-0000-0000-0000D7150000}"/>
    <cellStyle name="Incorreto 40" xfId="5595" xr:uid="{00000000-0005-0000-0000-0000D8150000}"/>
    <cellStyle name="Incorreto 41" xfId="5596" xr:uid="{00000000-0005-0000-0000-0000D9150000}"/>
    <cellStyle name="Incorreto 42" xfId="5597" xr:uid="{00000000-0005-0000-0000-0000DA150000}"/>
    <cellStyle name="Incorreto 43" xfId="5598" xr:uid="{00000000-0005-0000-0000-0000DB150000}"/>
    <cellStyle name="Incorreto 44" xfId="5599" xr:uid="{00000000-0005-0000-0000-0000DC150000}"/>
    <cellStyle name="Incorreto 45" xfId="5600" xr:uid="{00000000-0005-0000-0000-0000DD150000}"/>
    <cellStyle name="Incorreto 46" xfId="5601" xr:uid="{00000000-0005-0000-0000-0000DE150000}"/>
    <cellStyle name="Incorreto 47" xfId="5602" xr:uid="{00000000-0005-0000-0000-0000DF150000}"/>
    <cellStyle name="Incorreto 48" xfId="5603" xr:uid="{00000000-0005-0000-0000-0000E0150000}"/>
    <cellStyle name="Incorreto 49" xfId="5604" xr:uid="{00000000-0005-0000-0000-0000E1150000}"/>
    <cellStyle name="Incorreto 5" xfId="5605" xr:uid="{00000000-0005-0000-0000-0000E2150000}"/>
    <cellStyle name="Incorreto 50" xfId="5606" xr:uid="{00000000-0005-0000-0000-0000E3150000}"/>
    <cellStyle name="Incorreto 51" xfId="5607" xr:uid="{00000000-0005-0000-0000-0000E4150000}"/>
    <cellStyle name="Incorreto 52" xfId="5608" xr:uid="{00000000-0005-0000-0000-0000E5150000}"/>
    <cellStyle name="Incorreto 53" xfId="5609" xr:uid="{00000000-0005-0000-0000-0000E6150000}"/>
    <cellStyle name="Incorreto 54" xfId="5610" xr:uid="{00000000-0005-0000-0000-0000E7150000}"/>
    <cellStyle name="Incorreto 55" xfId="5611" xr:uid="{00000000-0005-0000-0000-0000E8150000}"/>
    <cellStyle name="Incorreto 56" xfId="5612" xr:uid="{00000000-0005-0000-0000-0000E9150000}"/>
    <cellStyle name="Incorreto 57" xfId="5613" xr:uid="{00000000-0005-0000-0000-0000EA150000}"/>
    <cellStyle name="Incorreto 58" xfId="5614" xr:uid="{00000000-0005-0000-0000-0000EB150000}"/>
    <cellStyle name="Incorreto 59" xfId="5615" xr:uid="{00000000-0005-0000-0000-0000EC150000}"/>
    <cellStyle name="Incorreto 6" xfId="5616" xr:uid="{00000000-0005-0000-0000-0000ED150000}"/>
    <cellStyle name="Incorreto 60" xfId="5617" xr:uid="{00000000-0005-0000-0000-0000EE150000}"/>
    <cellStyle name="Incorreto 61" xfId="5618" xr:uid="{00000000-0005-0000-0000-0000EF150000}"/>
    <cellStyle name="Incorreto 62" xfId="5619" xr:uid="{00000000-0005-0000-0000-0000F0150000}"/>
    <cellStyle name="Incorreto 63" xfId="5620" xr:uid="{00000000-0005-0000-0000-0000F1150000}"/>
    <cellStyle name="Incorreto 64" xfId="5621" xr:uid="{00000000-0005-0000-0000-0000F2150000}"/>
    <cellStyle name="Incorreto 65" xfId="5622" xr:uid="{00000000-0005-0000-0000-0000F3150000}"/>
    <cellStyle name="Incorreto 66" xfId="5623" xr:uid="{00000000-0005-0000-0000-0000F4150000}"/>
    <cellStyle name="Incorreto 67" xfId="5624" xr:uid="{00000000-0005-0000-0000-0000F5150000}"/>
    <cellStyle name="Incorreto 68" xfId="5625" xr:uid="{00000000-0005-0000-0000-0000F6150000}"/>
    <cellStyle name="Incorreto 69" xfId="5626" xr:uid="{00000000-0005-0000-0000-0000F7150000}"/>
    <cellStyle name="Incorreto 7" xfId="5627" xr:uid="{00000000-0005-0000-0000-0000F8150000}"/>
    <cellStyle name="Incorreto 70" xfId="5628" xr:uid="{00000000-0005-0000-0000-0000F9150000}"/>
    <cellStyle name="Incorreto 71" xfId="5629" xr:uid="{00000000-0005-0000-0000-0000FA150000}"/>
    <cellStyle name="Incorreto 72" xfId="5630" xr:uid="{00000000-0005-0000-0000-0000FB150000}"/>
    <cellStyle name="Incorreto 73" xfId="5631" xr:uid="{00000000-0005-0000-0000-0000FC150000}"/>
    <cellStyle name="Incorreto 74" xfId="5632" xr:uid="{00000000-0005-0000-0000-0000FD150000}"/>
    <cellStyle name="Incorreto 75" xfId="5633" xr:uid="{00000000-0005-0000-0000-0000FE150000}"/>
    <cellStyle name="Incorreto 76" xfId="5634" xr:uid="{00000000-0005-0000-0000-0000FF150000}"/>
    <cellStyle name="Incorreto 77" xfId="5635" xr:uid="{00000000-0005-0000-0000-000000160000}"/>
    <cellStyle name="Incorreto 78" xfId="5636" xr:uid="{00000000-0005-0000-0000-000001160000}"/>
    <cellStyle name="Incorreto 79" xfId="5637" xr:uid="{00000000-0005-0000-0000-000002160000}"/>
    <cellStyle name="Incorreto 8" xfId="5638" xr:uid="{00000000-0005-0000-0000-000003160000}"/>
    <cellStyle name="Incorreto 80" xfId="5639" xr:uid="{00000000-0005-0000-0000-000004160000}"/>
    <cellStyle name="Incorreto 81" xfId="5640" xr:uid="{00000000-0005-0000-0000-000005160000}"/>
    <cellStyle name="Incorreto 82" xfId="5641" xr:uid="{00000000-0005-0000-0000-000006160000}"/>
    <cellStyle name="Incorreto 83" xfId="5642" xr:uid="{00000000-0005-0000-0000-000007160000}"/>
    <cellStyle name="Incorreto 84" xfId="5643" xr:uid="{00000000-0005-0000-0000-000008160000}"/>
    <cellStyle name="Incorreto 85" xfId="5644" xr:uid="{00000000-0005-0000-0000-000009160000}"/>
    <cellStyle name="Incorreto 86" xfId="5645" xr:uid="{00000000-0005-0000-0000-00000A160000}"/>
    <cellStyle name="Incorreto 87" xfId="5646" xr:uid="{00000000-0005-0000-0000-00000B160000}"/>
    <cellStyle name="Incorreto 88" xfId="5647" xr:uid="{00000000-0005-0000-0000-00000C160000}"/>
    <cellStyle name="Incorreto 89" xfId="5648" xr:uid="{00000000-0005-0000-0000-00000D160000}"/>
    <cellStyle name="Incorreto 9" xfId="5649" xr:uid="{00000000-0005-0000-0000-00000E160000}"/>
    <cellStyle name="Incorreto 90" xfId="5650" xr:uid="{00000000-0005-0000-0000-00000F160000}"/>
    <cellStyle name="Incorreto 91" xfId="5651" xr:uid="{00000000-0005-0000-0000-000010160000}"/>
    <cellStyle name="Incorreto 92" xfId="5652" xr:uid="{00000000-0005-0000-0000-000011160000}"/>
    <cellStyle name="Incorreto 93" xfId="5653" xr:uid="{00000000-0005-0000-0000-000012160000}"/>
    <cellStyle name="Incorreto 94" xfId="5654" xr:uid="{00000000-0005-0000-0000-000013160000}"/>
    <cellStyle name="Incorreto 95" xfId="5655" xr:uid="{00000000-0005-0000-0000-000014160000}"/>
    <cellStyle name="Incorreto 96" xfId="5656" xr:uid="{00000000-0005-0000-0000-000015160000}"/>
    <cellStyle name="Incorreto 97" xfId="5657" xr:uid="{00000000-0005-0000-0000-000016160000}"/>
    <cellStyle name="Incorreto 98" xfId="5658" xr:uid="{00000000-0005-0000-0000-000017160000}"/>
    <cellStyle name="Incorreto 99" xfId="5659" xr:uid="{00000000-0005-0000-0000-000018160000}"/>
    <cellStyle name="Moeda" xfId="9235" builtinId="4"/>
    <cellStyle name="Moeda 2" xfId="5660" xr:uid="{00000000-0005-0000-0000-00001A160000}"/>
    <cellStyle name="Moeda 2 2" xfId="5661" xr:uid="{00000000-0005-0000-0000-00001B160000}"/>
    <cellStyle name="Moeda 2 2 2" xfId="5662" xr:uid="{00000000-0005-0000-0000-00001C160000}"/>
    <cellStyle name="Moeda 2 2 2 2" xfId="5663" xr:uid="{00000000-0005-0000-0000-00001D160000}"/>
    <cellStyle name="Moeda 2 2 2_Estoque Atual" xfId="5664" xr:uid="{00000000-0005-0000-0000-00001E160000}"/>
    <cellStyle name="Moeda 2 2 3" xfId="5665" xr:uid="{00000000-0005-0000-0000-00001F160000}"/>
    <cellStyle name="Moeda 2 2 4" xfId="5666" xr:uid="{00000000-0005-0000-0000-000020160000}"/>
    <cellStyle name="Moeda 2 2 4 2" xfId="5667" xr:uid="{00000000-0005-0000-0000-000021160000}"/>
    <cellStyle name="Moeda 2 2_Estoque Atual" xfId="5668" xr:uid="{00000000-0005-0000-0000-000022160000}"/>
    <cellStyle name="Moeda 2 3" xfId="5669" xr:uid="{00000000-0005-0000-0000-000023160000}"/>
    <cellStyle name="Moeda 2 3 2" xfId="5670" xr:uid="{00000000-0005-0000-0000-000024160000}"/>
    <cellStyle name="Moeda 2 3_Estoque Atual" xfId="5671" xr:uid="{00000000-0005-0000-0000-000025160000}"/>
    <cellStyle name="Moeda 2 4" xfId="5672" xr:uid="{00000000-0005-0000-0000-000026160000}"/>
    <cellStyle name="Moeda 2 5" xfId="5673" xr:uid="{00000000-0005-0000-0000-000027160000}"/>
    <cellStyle name="Moeda 2_Embalagens_Consumo" xfId="5674" xr:uid="{00000000-0005-0000-0000-000028160000}"/>
    <cellStyle name="Moeda 3" xfId="5675" xr:uid="{00000000-0005-0000-0000-000029160000}"/>
    <cellStyle name="Moeda 3 2" xfId="5676" xr:uid="{00000000-0005-0000-0000-00002A160000}"/>
    <cellStyle name="Moeda 3 2 2" xfId="5677" xr:uid="{00000000-0005-0000-0000-00002B160000}"/>
    <cellStyle name="Moeda 3 2_Estoque Atual" xfId="5678" xr:uid="{00000000-0005-0000-0000-00002C160000}"/>
    <cellStyle name="Moeda 3 3" xfId="5679" xr:uid="{00000000-0005-0000-0000-00002D160000}"/>
    <cellStyle name="Moeda 3_Estoque Atual" xfId="5680" xr:uid="{00000000-0005-0000-0000-00002E160000}"/>
    <cellStyle name="Moeda 4" xfId="5681" xr:uid="{00000000-0005-0000-0000-00002F160000}"/>
    <cellStyle name="Neutra 10" xfId="5682" xr:uid="{00000000-0005-0000-0000-000030160000}"/>
    <cellStyle name="Neutra 100" xfId="5683" xr:uid="{00000000-0005-0000-0000-000031160000}"/>
    <cellStyle name="Neutra 101" xfId="5684" xr:uid="{00000000-0005-0000-0000-000032160000}"/>
    <cellStyle name="Neutra 102" xfId="5685" xr:uid="{00000000-0005-0000-0000-000033160000}"/>
    <cellStyle name="Neutra 103" xfId="5686" xr:uid="{00000000-0005-0000-0000-000034160000}"/>
    <cellStyle name="Neutra 104" xfId="5687" xr:uid="{00000000-0005-0000-0000-000035160000}"/>
    <cellStyle name="Neutra 105" xfId="5688" xr:uid="{00000000-0005-0000-0000-000036160000}"/>
    <cellStyle name="Neutra 106" xfId="5689" xr:uid="{00000000-0005-0000-0000-000037160000}"/>
    <cellStyle name="Neutra 107" xfId="5690" xr:uid="{00000000-0005-0000-0000-000038160000}"/>
    <cellStyle name="Neutra 108" xfId="5691" xr:uid="{00000000-0005-0000-0000-000039160000}"/>
    <cellStyle name="Neutra 109" xfId="5692" xr:uid="{00000000-0005-0000-0000-00003A160000}"/>
    <cellStyle name="Neutra 11" xfId="5693" xr:uid="{00000000-0005-0000-0000-00003B160000}"/>
    <cellStyle name="Neutra 110" xfId="5694" xr:uid="{00000000-0005-0000-0000-00003C160000}"/>
    <cellStyle name="Neutra 111" xfId="5695" xr:uid="{00000000-0005-0000-0000-00003D160000}"/>
    <cellStyle name="Neutra 112" xfId="5696" xr:uid="{00000000-0005-0000-0000-00003E160000}"/>
    <cellStyle name="Neutra 113" xfId="5697" xr:uid="{00000000-0005-0000-0000-00003F160000}"/>
    <cellStyle name="Neutra 114" xfId="5698" xr:uid="{00000000-0005-0000-0000-000040160000}"/>
    <cellStyle name="Neutra 115" xfId="5699" xr:uid="{00000000-0005-0000-0000-000041160000}"/>
    <cellStyle name="Neutra 116" xfId="5700" xr:uid="{00000000-0005-0000-0000-000042160000}"/>
    <cellStyle name="Neutra 117" xfId="5701" xr:uid="{00000000-0005-0000-0000-000043160000}"/>
    <cellStyle name="Neutra 118" xfId="5702" xr:uid="{00000000-0005-0000-0000-000044160000}"/>
    <cellStyle name="Neutra 119" xfId="5703" xr:uid="{00000000-0005-0000-0000-000045160000}"/>
    <cellStyle name="Neutra 12" xfId="5704" xr:uid="{00000000-0005-0000-0000-000046160000}"/>
    <cellStyle name="Neutra 120" xfId="5705" xr:uid="{00000000-0005-0000-0000-000047160000}"/>
    <cellStyle name="Neutra 13" xfId="5706" xr:uid="{00000000-0005-0000-0000-000048160000}"/>
    <cellStyle name="Neutra 14" xfId="5707" xr:uid="{00000000-0005-0000-0000-000049160000}"/>
    <cellStyle name="Neutra 15" xfId="5708" xr:uid="{00000000-0005-0000-0000-00004A160000}"/>
    <cellStyle name="Neutra 16" xfId="5709" xr:uid="{00000000-0005-0000-0000-00004B160000}"/>
    <cellStyle name="Neutra 17" xfId="5710" xr:uid="{00000000-0005-0000-0000-00004C160000}"/>
    <cellStyle name="Neutra 18" xfId="5711" xr:uid="{00000000-0005-0000-0000-00004D160000}"/>
    <cellStyle name="Neutra 19" xfId="5712" xr:uid="{00000000-0005-0000-0000-00004E160000}"/>
    <cellStyle name="Neutra 2" xfId="5713" xr:uid="{00000000-0005-0000-0000-00004F160000}"/>
    <cellStyle name="Neutra 2 2" xfId="5714" xr:uid="{00000000-0005-0000-0000-000050160000}"/>
    <cellStyle name="Neutra 2 2 2" xfId="5715" xr:uid="{00000000-0005-0000-0000-000051160000}"/>
    <cellStyle name="Neutra 2 2 2 2" xfId="5716" xr:uid="{00000000-0005-0000-0000-000052160000}"/>
    <cellStyle name="Neutra 2 2 2 2 2" xfId="5717" xr:uid="{00000000-0005-0000-0000-000053160000}"/>
    <cellStyle name="Neutra 2 2 3" xfId="5718" xr:uid="{00000000-0005-0000-0000-000054160000}"/>
    <cellStyle name="Neutra 2 2 4" xfId="5719" xr:uid="{00000000-0005-0000-0000-000055160000}"/>
    <cellStyle name="Neutra 2 2_BD" xfId="5720" xr:uid="{00000000-0005-0000-0000-000056160000}"/>
    <cellStyle name="Neutra 2 3" xfId="5721" xr:uid="{00000000-0005-0000-0000-000057160000}"/>
    <cellStyle name="Neutra 2 4" xfId="5722" xr:uid="{00000000-0005-0000-0000-000058160000}"/>
    <cellStyle name="Neutra 2 5" xfId="5723" xr:uid="{00000000-0005-0000-0000-000059160000}"/>
    <cellStyle name="Neutra 2 6" xfId="5724" xr:uid="{00000000-0005-0000-0000-00005A160000}"/>
    <cellStyle name="Neutra 2 6 2" xfId="5725" xr:uid="{00000000-0005-0000-0000-00005B160000}"/>
    <cellStyle name="Neutra 2_BD" xfId="5726" xr:uid="{00000000-0005-0000-0000-00005C160000}"/>
    <cellStyle name="Neutra 20" xfId="5727" xr:uid="{00000000-0005-0000-0000-00005D160000}"/>
    <cellStyle name="Neutra 21" xfId="5728" xr:uid="{00000000-0005-0000-0000-00005E160000}"/>
    <cellStyle name="Neutra 22" xfId="5729" xr:uid="{00000000-0005-0000-0000-00005F160000}"/>
    <cellStyle name="Neutra 23" xfId="5730" xr:uid="{00000000-0005-0000-0000-000060160000}"/>
    <cellStyle name="Neutra 24" xfId="5731" xr:uid="{00000000-0005-0000-0000-000061160000}"/>
    <cellStyle name="Neutra 25" xfId="5732" xr:uid="{00000000-0005-0000-0000-000062160000}"/>
    <cellStyle name="Neutra 26" xfId="5733" xr:uid="{00000000-0005-0000-0000-000063160000}"/>
    <cellStyle name="Neutra 27" xfId="5734" xr:uid="{00000000-0005-0000-0000-000064160000}"/>
    <cellStyle name="Neutra 28" xfId="5735" xr:uid="{00000000-0005-0000-0000-000065160000}"/>
    <cellStyle name="Neutra 29" xfId="5736" xr:uid="{00000000-0005-0000-0000-000066160000}"/>
    <cellStyle name="Neutra 3" xfId="5737" xr:uid="{00000000-0005-0000-0000-000067160000}"/>
    <cellStyle name="Neutra 3 2" xfId="5738" xr:uid="{00000000-0005-0000-0000-000068160000}"/>
    <cellStyle name="Neutra 3_BD" xfId="5739" xr:uid="{00000000-0005-0000-0000-000069160000}"/>
    <cellStyle name="Neutra 30" xfId="5740" xr:uid="{00000000-0005-0000-0000-00006A160000}"/>
    <cellStyle name="Neutra 31" xfId="5741" xr:uid="{00000000-0005-0000-0000-00006B160000}"/>
    <cellStyle name="Neutra 32" xfId="5742" xr:uid="{00000000-0005-0000-0000-00006C160000}"/>
    <cellStyle name="Neutra 33" xfId="5743" xr:uid="{00000000-0005-0000-0000-00006D160000}"/>
    <cellStyle name="Neutra 34" xfId="5744" xr:uid="{00000000-0005-0000-0000-00006E160000}"/>
    <cellStyle name="Neutra 35" xfId="5745" xr:uid="{00000000-0005-0000-0000-00006F160000}"/>
    <cellStyle name="Neutra 36" xfId="5746" xr:uid="{00000000-0005-0000-0000-000070160000}"/>
    <cellStyle name="Neutra 37" xfId="5747" xr:uid="{00000000-0005-0000-0000-000071160000}"/>
    <cellStyle name="Neutra 38" xfId="5748" xr:uid="{00000000-0005-0000-0000-000072160000}"/>
    <cellStyle name="Neutra 39" xfId="5749" xr:uid="{00000000-0005-0000-0000-000073160000}"/>
    <cellStyle name="Neutra 4" xfId="5750" xr:uid="{00000000-0005-0000-0000-000074160000}"/>
    <cellStyle name="Neutra 40" xfId="5751" xr:uid="{00000000-0005-0000-0000-000075160000}"/>
    <cellStyle name="Neutra 41" xfId="5752" xr:uid="{00000000-0005-0000-0000-000076160000}"/>
    <cellStyle name="Neutra 42" xfId="5753" xr:uid="{00000000-0005-0000-0000-000077160000}"/>
    <cellStyle name="Neutra 43" xfId="5754" xr:uid="{00000000-0005-0000-0000-000078160000}"/>
    <cellStyle name="Neutra 44" xfId="5755" xr:uid="{00000000-0005-0000-0000-000079160000}"/>
    <cellStyle name="Neutra 45" xfId="5756" xr:uid="{00000000-0005-0000-0000-00007A160000}"/>
    <cellStyle name="Neutra 46" xfId="5757" xr:uid="{00000000-0005-0000-0000-00007B160000}"/>
    <cellStyle name="Neutra 47" xfId="5758" xr:uid="{00000000-0005-0000-0000-00007C160000}"/>
    <cellStyle name="Neutra 48" xfId="5759" xr:uid="{00000000-0005-0000-0000-00007D160000}"/>
    <cellStyle name="Neutra 49" xfId="5760" xr:uid="{00000000-0005-0000-0000-00007E160000}"/>
    <cellStyle name="Neutra 5" xfId="5761" xr:uid="{00000000-0005-0000-0000-00007F160000}"/>
    <cellStyle name="Neutra 50" xfId="5762" xr:uid="{00000000-0005-0000-0000-000080160000}"/>
    <cellStyle name="Neutra 51" xfId="5763" xr:uid="{00000000-0005-0000-0000-000081160000}"/>
    <cellStyle name="Neutra 52" xfId="5764" xr:uid="{00000000-0005-0000-0000-000082160000}"/>
    <cellStyle name="Neutra 53" xfId="5765" xr:uid="{00000000-0005-0000-0000-000083160000}"/>
    <cellStyle name="Neutra 54" xfId="5766" xr:uid="{00000000-0005-0000-0000-000084160000}"/>
    <cellStyle name="Neutra 55" xfId="5767" xr:uid="{00000000-0005-0000-0000-000085160000}"/>
    <cellStyle name="Neutra 56" xfId="5768" xr:uid="{00000000-0005-0000-0000-000086160000}"/>
    <cellStyle name="Neutra 57" xfId="5769" xr:uid="{00000000-0005-0000-0000-000087160000}"/>
    <cellStyle name="Neutra 58" xfId="5770" xr:uid="{00000000-0005-0000-0000-000088160000}"/>
    <cellStyle name="Neutra 59" xfId="5771" xr:uid="{00000000-0005-0000-0000-000089160000}"/>
    <cellStyle name="Neutra 6" xfId="5772" xr:uid="{00000000-0005-0000-0000-00008A160000}"/>
    <cellStyle name="Neutra 60" xfId="5773" xr:uid="{00000000-0005-0000-0000-00008B160000}"/>
    <cellStyle name="Neutra 61" xfId="5774" xr:uid="{00000000-0005-0000-0000-00008C160000}"/>
    <cellStyle name="Neutra 62" xfId="5775" xr:uid="{00000000-0005-0000-0000-00008D160000}"/>
    <cellStyle name="Neutra 63" xfId="5776" xr:uid="{00000000-0005-0000-0000-00008E160000}"/>
    <cellStyle name="Neutra 64" xfId="5777" xr:uid="{00000000-0005-0000-0000-00008F160000}"/>
    <cellStyle name="Neutra 65" xfId="5778" xr:uid="{00000000-0005-0000-0000-000090160000}"/>
    <cellStyle name="Neutra 66" xfId="5779" xr:uid="{00000000-0005-0000-0000-000091160000}"/>
    <cellStyle name="Neutra 67" xfId="5780" xr:uid="{00000000-0005-0000-0000-000092160000}"/>
    <cellStyle name="Neutra 68" xfId="5781" xr:uid="{00000000-0005-0000-0000-000093160000}"/>
    <cellStyle name="Neutra 69" xfId="5782" xr:uid="{00000000-0005-0000-0000-000094160000}"/>
    <cellStyle name="Neutra 7" xfId="5783" xr:uid="{00000000-0005-0000-0000-000095160000}"/>
    <cellStyle name="Neutra 70" xfId="5784" xr:uid="{00000000-0005-0000-0000-000096160000}"/>
    <cellStyle name="Neutra 71" xfId="5785" xr:uid="{00000000-0005-0000-0000-000097160000}"/>
    <cellStyle name="Neutra 72" xfId="5786" xr:uid="{00000000-0005-0000-0000-000098160000}"/>
    <cellStyle name="Neutra 73" xfId="5787" xr:uid="{00000000-0005-0000-0000-000099160000}"/>
    <cellStyle name="Neutra 74" xfId="5788" xr:uid="{00000000-0005-0000-0000-00009A160000}"/>
    <cellStyle name="Neutra 75" xfId="5789" xr:uid="{00000000-0005-0000-0000-00009B160000}"/>
    <cellStyle name="Neutra 76" xfId="5790" xr:uid="{00000000-0005-0000-0000-00009C160000}"/>
    <cellStyle name="Neutra 77" xfId="5791" xr:uid="{00000000-0005-0000-0000-00009D160000}"/>
    <cellStyle name="Neutra 78" xfId="5792" xr:uid="{00000000-0005-0000-0000-00009E160000}"/>
    <cellStyle name="Neutra 79" xfId="5793" xr:uid="{00000000-0005-0000-0000-00009F160000}"/>
    <cellStyle name="Neutra 8" xfId="5794" xr:uid="{00000000-0005-0000-0000-0000A0160000}"/>
    <cellStyle name="Neutra 80" xfId="5795" xr:uid="{00000000-0005-0000-0000-0000A1160000}"/>
    <cellStyle name="Neutra 81" xfId="5796" xr:uid="{00000000-0005-0000-0000-0000A2160000}"/>
    <cellStyle name="Neutra 82" xfId="5797" xr:uid="{00000000-0005-0000-0000-0000A3160000}"/>
    <cellStyle name="Neutra 83" xfId="5798" xr:uid="{00000000-0005-0000-0000-0000A4160000}"/>
    <cellStyle name="Neutra 84" xfId="5799" xr:uid="{00000000-0005-0000-0000-0000A5160000}"/>
    <cellStyle name="Neutra 85" xfId="5800" xr:uid="{00000000-0005-0000-0000-0000A6160000}"/>
    <cellStyle name="Neutra 86" xfId="5801" xr:uid="{00000000-0005-0000-0000-0000A7160000}"/>
    <cellStyle name="Neutra 87" xfId="5802" xr:uid="{00000000-0005-0000-0000-0000A8160000}"/>
    <cellStyle name="Neutra 88" xfId="5803" xr:uid="{00000000-0005-0000-0000-0000A9160000}"/>
    <cellStyle name="Neutra 89" xfId="5804" xr:uid="{00000000-0005-0000-0000-0000AA160000}"/>
    <cellStyle name="Neutra 9" xfId="5805" xr:uid="{00000000-0005-0000-0000-0000AB160000}"/>
    <cellStyle name="Neutra 90" xfId="5806" xr:uid="{00000000-0005-0000-0000-0000AC160000}"/>
    <cellStyle name="Neutra 91" xfId="5807" xr:uid="{00000000-0005-0000-0000-0000AD160000}"/>
    <cellStyle name="Neutra 92" xfId="5808" xr:uid="{00000000-0005-0000-0000-0000AE160000}"/>
    <cellStyle name="Neutra 93" xfId="5809" xr:uid="{00000000-0005-0000-0000-0000AF160000}"/>
    <cellStyle name="Neutra 94" xfId="5810" xr:uid="{00000000-0005-0000-0000-0000B0160000}"/>
    <cellStyle name="Neutra 95" xfId="5811" xr:uid="{00000000-0005-0000-0000-0000B1160000}"/>
    <cellStyle name="Neutra 96" xfId="5812" xr:uid="{00000000-0005-0000-0000-0000B2160000}"/>
    <cellStyle name="Neutra 97" xfId="5813" xr:uid="{00000000-0005-0000-0000-0000B3160000}"/>
    <cellStyle name="Neutra 98" xfId="5814" xr:uid="{00000000-0005-0000-0000-0000B4160000}"/>
    <cellStyle name="Neutra 99" xfId="5815" xr:uid="{00000000-0005-0000-0000-0000B5160000}"/>
    <cellStyle name="Normal" xfId="0" builtinId="0"/>
    <cellStyle name="Normal 10" xfId="5816" xr:uid="{00000000-0005-0000-0000-0000B7160000}"/>
    <cellStyle name="Normal 10 2" xfId="5817" xr:uid="{00000000-0005-0000-0000-0000B8160000}"/>
    <cellStyle name="Normal 10 2 2" xfId="5818" xr:uid="{00000000-0005-0000-0000-0000B9160000}"/>
    <cellStyle name="Normal 10 2_BD" xfId="5819" xr:uid="{00000000-0005-0000-0000-0000BA160000}"/>
    <cellStyle name="Normal 10 3" xfId="5820" xr:uid="{00000000-0005-0000-0000-0000BB160000}"/>
    <cellStyle name="Normal 10 3 2" xfId="5821" xr:uid="{00000000-0005-0000-0000-0000BC160000}"/>
    <cellStyle name="Normal 10 4" xfId="5822" xr:uid="{00000000-0005-0000-0000-0000BD160000}"/>
    <cellStyle name="Normal 10 5" xfId="5823" xr:uid="{00000000-0005-0000-0000-0000BE160000}"/>
    <cellStyle name="Normal 10 6" xfId="5824" xr:uid="{00000000-0005-0000-0000-0000BF160000}"/>
    <cellStyle name="Normal 10 7" xfId="5825" xr:uid="{00000000-0005-0000-0000-0000C0160000}"/>
    <cellStyle name="Normal 10_BD" xfId="5826" xr:uid="{00000000-0005-0000-0000-0000C1160000}"/>
    <cellStyle name="Normal 100" xfId="5827" xr:uid="{00000000-0005-0000-0000-0000C2160000}"/>
    <cellStyle name="Normal 100 2" xfId="5828" xr:uid="{00000000-0005-0000-0000-0000C3160000}"/>
    <cellStyle name="Normal 101" xfId="5829" xr:uid="{00000000-0005-0000-0000-0000C4160000}"/>
    <cellStyle name="Normal 101 2" xfId="5830" xr:uid="{00000000-0005-0000-0000-0000C5160000}"/>
    <cellStyle name="Normal 102" xfId="5831" xr:uid="{00000000-0005-0000-0000-0000C6160000}"/>
    <cellStyle name="Normal 102 2" xfId="5832" xr:uid="{00000000-0005-0000-0000-0000C7160000}"/>
    <cellStyle name="Normal 103" xfId="5833" xr:uid="{00000000-0005-0000-0000-0000C8160000}"/>
    <cellStyle name="Normal 104" xfId="5834" xr:uid="{00000000-0005-0000-0000-0000C9160000}"/>
    <cellStyle name="Normal 105" xfId="5835" xr:uid="{00000000-0005-0000-0000-0000CA160000}"/>
    <cellStyle name="Normal 106" xfId="5836" xr:uid="{00000000-0005-0000-0000-0000CB160000}"/>
    <cellStyle name="Normal 11" xfId="5837" xr:uid="{00000000-0005-0000-0000-0000CC160000}"/>
    <cellStyle name="Normal 11 2" xfId="5838" xr:uid="{00000000-0005-0000-0000-0000CD160000}"/>
    <cellStyle name="Normal 11 2 2" xfId="5839" xr:uid="{00000000-0005-0000-0000-0000CE160000}"/>
    <cellStyle name="Normal 11 2_BD" xfId="5840" xr:uid="{00000000-0005-0000-0000-0000CF160000}"/>
    <cellStyle name="Normal 11 3" xfId="5841" xr:uid="{00000000-0005-0000-0000-0000D0160000}"/>
    <cellStyle name="Normal 11 3 2" xfId="5842" xr:uid="{00000000-0005-0000-0000-0000D1160000}"/>
    <cellStyle name="Normal 11 4" xfId="5843" xr:uid="{00000000-0005-0000-0000-0000D2160000}"/>
    <cellStyle name="Normal 11 5" xfId="5844" xr:uid="{00000000-0005-0000-0000-0000D3160000}"/>
    <cellStyle name="Normal 11 6" xfId="5845" xr:uid="{00000000-0005-0000-0000-0000D4160000}"/>
    <cellStyle name="Normal 11 7" xfId="5846" xr:uid="{00000000-0005-0000-0000-0000D5160000}"/>
    <cellStyle name="Normal 11_BD" xfId="5847" xr:uid="{00000000-0005-0000-0000-0000D6160000}"/>
    <cellStyle name="Normal 12" xfId="5848" xr:uid="{00000000-0005-0000-0000-0000D7160000}"/>
    <cellStyle name="Normal 12 10" xfId="5849" xr:uid="{00000000-0005-0000-0000-0000D8160000}"/>
    <cellStyle name="Normal 12 10 2" xfId="5850" xr:uid="{00000000-0005-0000-0000-0000D9160000}"/>
    <cellStyle name="Normal 12 10 3" xfId="5851" xr:uid="{00000000-0005-0000-0000-0000DA160000}"/>
    <cellStyle name="Normal 12 10_BD" xfId="5852" xr:uid="{00000000-0005-0000-0000-0000DB160000}"/>
    <cellStyle name="Normal 12 11" xfId="5853" xr:uid="{00000000-0005-0000-0000-0000DC160000}"/>
    <cellStyle name="Normal 12 11 2" xfId="5854" xr:uid="{00000000-0005-0000-0000-0000DD160000}"/>
    <cellStyle name="Normal 12 11 3" xfId="5855" xr:uid="{00000000-0005-0000-0000-0000DE160000}"/>
    <cellStyle name="Normal 12 11_BD" xfId="5856" xr:uid="{00000000-0005-0000-0000-0000DF160000}"/>
    <cellStyle name="Normal 12 12" xfId="5857" xr:uid="{00000000-0005-0000-0000-0000E0160000}"/>
    <cellStyle name="Normal 12 13" xfId="5858" xr:uid="{00000000-0005-0000-0000-0000E1160000}"/>
    <cellStyle name="Normal 12 2" xfId="5859" xr:uid="{00000000-0005-0000-0000-0000E2160000}"/>
    <cellStyle name="Normal 12 2 10" xfId="5860" xr:uid="{00000000-0005-0000-0000-0000E3160000}"/>
    <cellStyle name="Normal 12 2 2" xfId="5861" xr:uid="{00000000-0005-0000-0000-0000E4160000}"/>
    <cellStyle name="Normal 12 2 2 2" xfId="5862" xr:uid="{00000000-0005-0000-0000-0000E5160000}"/>
    <cellStyle name="Normal 12 2 2 2 2" xfId="5863" xr:uid="{00000000-0005-0000-0000-0000E6160000}"/>
    <cellStyle name="Normal 12 2 2 2 3" xfId="5864" xr:uid="{00000000-0005-0000-0000-0000E7160000}"/>
    <cellStyle name="Normal 12 2 2 2_BD" xfId="5865" xr:uid="{00000000-0005-0000-0000-0000E8160000}"/>
    <cellStyle name="Normal 12 2 2 3" xfId="5866" xr:uid="{00000000-0005-0000-0000-0000E9160000}"/>
    <cellStyle name="Normal 12 2 2 3 2" xfId="5867" xr:uid="{00000000-0005-0000-0000-0000EA160000}"/>
    <cellStyle name="Normal 12 2 2 3 3" xfId="5868" xr:uid="{00000000-0005-0000-0000-0000EB160000}"/>
    <cellStyle name="Normal 12 2 2 3_BD" xfId="5869" xr:uid="{00000000-0005-0000-0000-0000EC160000}"/>
    <cellStyle name="Normal 12 2 2 4" xfId="5870" xr:uid="{00000000-0005-0000-0000-0000ED160000}"/>
    <cellStyle name="Normal 12 2 2 5" xfId="5871" xr:uid="{00000000-0005-0000-0000-0000EE160000}"/>
    <cellStyle name="Normal 12 2 2_BD" xfId="5872" xr:uid="{00000000-0005-0000-0000-0000EF160000}"/>
    <cellStyle name="Normal 12 2 3" xfId="5873" xr:uid="{00000000-0005-0000-0000-0000F0160000}"/>
    <cellStyle name="Normal 12 2 3 2" xfId="5874" xr:uid="{00000000-0005-0000-0000-0000F1160000}"/>
    <cellStyle name="Normal 12 2 3 2 2" xfId="5875" xr:uid="{00000000-0005-0000-0000-0000F2160000}"/>
    <cellStyle name="Normal 12 2 3 2 3" xfId="5876" xr:uid="{00000000-0005-0000-0000-0000F3160000}"/>
    <cellStyle name="Normal 12 2 3 2_BD" xfId="5877" xr:uid="{00000000-0005-0000-0000-0000F4160000}"/>
    <cellStyle name="Normal 12 2 3 3" xfId="5878" xr:uid="{00000000-0005-0000-0000-0000F5160000}"/>
    <cellStyle name="Normal 12 2 3 3 2" xfId="5879" xr:uid="{00000000-0005-0000-0000-0000F6160000}"/>
    <cellStyle name="Normal 12 2 3 3 3" xfId="5880" xr:uid="{00000000-0005-0000-0000-0000F7160000}"/>
    <cellStyle name="Normal 12 2 3 3_BD" xfId="5881" xr:uid="{00000000-0005-0000-0000-0000F8160000}"/>
    <cellStyle name="Normal 12 2 3 4" xfId="5882" xr:uid="{00000000-0005-0000-0000-0000F9160000}"/>
    <cellStyle name="Normal 12 2 3 5" xfId="5883" xr:uid="{00000000-0005-0000-0000-0000FA160000}"/>
    <cellStyle name="Normal 12 2 3_BD" xfId="5884" xr:uid="{00000000-0005-0000-0000-0000FB160000}"/>
    <cellStyle name="Normal 12 2 4" xfId="5885" xr:uid="{00000000-0005-0000-0000-0000FC160000}"/>
    <cellStyle name="Normal 12 2 4 2" xfId="5886" xr:uid="{00000000-0005-0000-0000-0000FD160000}"/>
    <cellStyle name="Normal 12 2 4 2 2" xfId="5887" xr:uid="{00000000-0005-0000-0000-0000FE160000}"/>
    <cellStyle name="Normal 12 2 4 2 3" xfId="5888" xr:uid="{00000000-0005-0000-0000-0000FF160000}"/>
    <cellStyle name="Normal 12 2 4 2_BD" xfId="5889" xr:uid="{00000000-0005-0000-0000-000000170000}"/>
    <cellStyle name="Normal 12 2 4 3" xfId="5890" xr:uid="{00000000-0005-0000-0000-000001170000}"/>
    <cellStyle name="Normal 12 2 4 3 2" xfId="5891" xr:uid="{00000000-0005-0000-0000-000002170000}"/>
    <cellStyle name="Normal 12 2 4 3 3" xfId="5892" xr:uid="{00000000-0005-0000-0000-000003170000}"/>
    <cellStyle name="Normal 12 2 4 3_BD" xfId="5893" xr:uid="{00000000-0005-0000-0000-000004170000}"/>
    <cellStyle name="Normal 12 2 4 4" xfId="5894" xr:uid="{00000000-0005-0000-0000-000005170000}"/>
    <cellStyle name="Normal 12 2 4 5" xfId="5895" xr:uid="{00000000-0005-0000-0000-000006170000}"/>
    <cellStyle name="Normal 12 2 4_BD" xfId="5896" xr:uid="{00000000-0005-0000-0000-000007170000}"/>
    <cellStyle name="Normal 12 2 5" xfId="5897" xr:uid="{00000000-0005-0000-0000-000008170000}"/>
    <cellStyle name="Normal 12 2 5 2" xfId="5898" xr:uid="{00000000-0005-0000-0000-000009170000}"/>
    <cellStyle name="Normal 12 2 5 2 2" xfId="5899" xr:uid="{00000000-0005-0000-0000-00000A170000}"/>
    <cellStyle name="Normal 12 2 5 2 3" xfId="5900" xr:uid="{00000000-0005-0000-0000-00000B170000}"/>
    <cellStyle name="Normal 12 2 5 2_BD" xfId="5901" xr:uid="{00000000-0005-0000-0000-00000C170000}"/>
    <cellStyle name="Normal 12 2 5 3" xfId="5902" xr:uid="{00000000-0005-0000-0000-00000D170000}"/>
    <cellStyle name="Normal 12 2 5 3 2" xfId="5903" xr:uid="{00000000-0005-0000-0000-00000E170000}"/>
    <cellStyle name="Normal 12 2 5 3 3" xfId="5904" xr:uid="{00000000-0005-0000-0000-00000F170000}"/>
    <cellStyle name="Normal 12 2 5 3_BD" xfId="5905" xr:uid="{00000000-0005-0000-0000-000010170000}"/>
    <cellStyle name="Normal 12 2 5 4" xfId="5906" xr:uid="{00000000-0005-0000-0000-000011170000}"/>
    <cellStyle name="Normal 12 2 5 5" xfId="5907" xr:uid="{00000000-0005-0000-0000-000012170000}"/>
    <cellStyle name="Normal 12 2 5_BD" xfId="5908" xr:uid="{00000000-0005-0000-0000-000013170000}"/>
    <cellStyle name="Normal 12 2 6" xfId="5909" xr:uid="{00000000-0005-0000-0000-000014170000}"/>
    <cellStyle name="Normal 12 2 6 2" xfId="5910" xr:uid="{00000000-0005-0000-0000-000015170000}"/>
    <cellStyle name="Normal 12 2 6 2 2" xfId="5911" xr:uid="{00000000-0005-0000-0000-000016170000}"/>
    <cellStyle name="Normal 12 2 6 2 3" xfId="5912" xr:uid="{00000000-0005-0000-0000-000017170000}"/>
    <cellStyle name="Normal 12 2 6 2_BD" xfId="5913" xr:uid="{00000000-0005-0000-0000-000018170000}"/>
    <cellStyle name="Normal 12 2 6 3" xfId="5914" xr:uid="{00000000-0005-0000-0000-000019170000}"/>
    <cellStyle name="Normal 12 2 6 3 2" xfId="5915" xr:uid="{00000000-0005-0000-0000-00001A170000}"/>
    <cellStyle name="Normal 12 2 6 3 3" xfId="5916" xr:uid="{00000000-0005-0000-0000-00001B170000}"/>
    <cellStyle name="Normal 12 2 6 3_BD" xfId="5917" xr:uid="{00000000-0005-0000-0000-00001C170000}"/>
    <cellStyle name="Normal 12 2 6 4" xfId="5918" xr:uid="{00000000-0005-0000-0000-00001D170000}"/>
    <cellStyle name="Normal 12 2 6 5" xfId="5919" xr:uid="{00000000-0005-0000-0000-00001E170000}"/>
    <cellStyle name="Normal 12 2 6_BD" xfId="5920" xr:uid="{00000000-0005-0000-0000-00001F170000}"/>
    <cellStyle name="Normal 12 2 7" xfId="5921" xr:uid="{00000000-0005-0000-0000-000020170000}"/>
    <cellStyle name="Normal 12 2 7 2" xfId="5922" xr:uid="{00000000-0005-0000-0000-000021170000}"/>
    <cellStyle name="Normal 12 2 7 3" xfId="5923" xr:uid="{00000000-0005-0000-0000-000022170000}"/>
    <cellStyle name="Normal 12 2 7_BD" xfId="5924" xr:uid="{00000000-0005-0000-0000-000023170000}"/>
    <cellStyle name="Normal 12 2 8" xfId="5925" xr:uid="{00000000-0005-0000-0000-000024170000}"/>
    <cellStyle name="Normal 12 2 8 2" xfId="5926" xr:uid="{00000000-0005-0000-0000-000025170000}"/>
    <cellStyle name="Normal 12 2 8 3" xfId="5927" xr:uid="{00000000-0005-0000-0000-000026170000}"/>
    <cellStyle name="Normal 12 2 8_BD" xfId="5928" xr:uid="{00000000-0005-0000-0000-000027170000}"/>
    <cellStyle name="Normal 12 2 9" xfId="5929" xr:uid="{00000000-0005-0000-0000-000028170000}"/>
    <cellStyle name="Normal 12 2_BD" xfId="5930" xr:uid="{00000000-0005-0000-0000-000029170000}"/>
    <cellStyle name="Normal 12 3" xfId="5931" xr:uid="{00000000-0005-0000-0000-00002A170000}"/>
    <cellStyle name="Normal 12 3 10" xfId="5932" xr:uid="{00000000-0005-0000-0000-00002B170000}"/>
    <cellStyle name="Normal 12 3 2" xfId="5933" xr:uid="{00000000-0005-0000-0000-00002C170000}"/>
    <cellStyle name="Normal 12 3 2 2" xfId="5934" xr:uid="{00000000-0005-0000-0000-00002D170000}"/>
    <cellStyle name="Normal 12 3 2 2 2" xfId="5935" xr:uid="{00000000-0005-0000-0000-00002E170000}"/>
    <cellStyle name="Normal 12 3 2 2 3" xfId="5936" xr:uid="{00000000-0005-0000-0000-00002F170000}"/>
    <cellStyle name="Normal 12 3 2 2_BD" xfId="5937" xr:uid="{00000000-0005-0000-0000-000030170000}"/>
    <cellStyle name="Normal 12 3 2 3" xfId="5938" xr:uid="{00000000-0005-0000-0000-000031170000}"/>
    <cellStyle name="Normal 12 3 2 3 2" xfId="5939" xr:uid="{00000000-0005-0000-0000-000032170000}"/>
    <cellStyle name="Normal 12 3 2 3 3" xfId="5940" xr:uid="{00000000-0005-0000-0000-000033170000}"/>
    <cellStyle name="Normal 12 3 2 3_BD" xfId="5941" xr:uid="{00000000-0005-0000-0000-000034170000}"/>
    <cellStyle name="Normal 12 3 2 4" xfId="5942" xr:uid="{00000000-0005-0000-0000-000035170000}"/>
    <cellStyle name="Normal 12 3 2 5" xfId="5943" xr:uid="{00000000-0005-0000-0000-000036170000}"/>
    <cellStyle name="Normal 12 3 2_BD" xfId="5944" xr:uid="{00000000-0005-0000-0000-000037170000}"/>
    <cellStyle name="Normal 12 3 3" xfId="5945" xr:uid="{00000000-0005-0000-0000-000038170000}"/>
    <cellStyle name="Normal 12 3 3 2" xfId="5946" xr:uid="{00000000-0005-0000-0000-000039170000}"/>
    <cellStyle name="Normal 12 3 3 2 2" xfId="5947" xr:uid="{00000000-0005-0000-0000-00003A170000}"/>
    <cellStyle name="Normal 12 3 3 2 3" xfId="5948" xr:uid="{00000000-0005-0000-0000-00003B170000}"/>
    <cellStyle name="Normal 12 3 3 2_BD" xfId="5949" xr:uid="{00000000-0005-0000-0000-00003C170000}"/>
    <cellStyle name="Normal 12 3 3 3" xfId="5950" xr:uid="{00000000-0005-0000-0000-00003D170000}"/>
    <cellStyle name="Normal 12 3 3 3 2" xfId="5951" xr:uid="{00000000-0005-0000-0000-00003E170000}"/>
    <cellStyle name="Normal 12 3 3 3 3" xfId="5952" xr:uid="{00000000-0005-0000-0000-00003F170000}"/>
    <cellStyle name="Normal 12 3 3 3_BD" xfId="5953" xr:uid="{00000000-0005-0000-0000-000040170000}"/>
    <cellStyle name="Normal 12 3 3 4" xfId="5954" xr:uid="{00000000-0005-0000-0000-000041170000}"/>
    <cellStyle name="Normal 12 3 3 5" xfId="5955" xr:uid="{00000000-0005-0000-0000-000042170000}"/>
    <cellStyle name="Normal 12 3 3_BD" xfId="5956" xr:uid="{00000000-0005-0000-0000-000043170000}"/>
    <cellStyle name="Normal 12 3 4" xfId="5957" xr:uid="{00000000-0005-0000-0000-000044170000}"/>
    <cellStyle name="Normal 12 3 4 2" xfId="5958" xr:uid="{00000000-0005-0000-0000-000045170000}"/>
    <cellStyle name="Normal 12 3 4 2 2" xfId="5959" xr:uid="{00000000-0005-0000-0000-000046170000}"/>
    <cellStyle name="Normal 12 3 4 2 3" xfId="5960" xr:uid="{00000000-0005-0000-0000-000047170000}"/>
    <cellStyle name="Normal 12 3 4 2_BD" xfId="5961" xr:uid="{00000000-0005-0000-0000-000048170000}"/>
    <cellStyle name="Normal 12 3 4 3" xfId="5962" xr:uid="{00000000-0005-0000-0000-000049170000}"/>
    <cellStyle name="Normal 12 3 4 3 2" xfId="5963" xr:uid="{00000000-0005-0000-0000-00004A170000}"/>
    <cellStyle name="Normal 12 3 4 3 3" xfId="5964" xr:uid="{00000000-0005-0000-0000-00004B170000}"/>
    <cellStyle name="Normal 12 3 4 3_BD" xfId="5965" xr:uid="{00000000-0005-0000-0000-00004C170000}"/>
    <cellStyle name="Normal 12 3 4 4" xfId="5966" xr:uid="{00000000-0005-0000-0000-00004D170000}"/>
    <cellStyle name="Normal 12 3 4 5" xfId="5967" xr:uid="{00000000-0005-0000-0000-00004E170000}"/>
    <cellStyle name="Normal 12 3 4_BD" xfId="5968" xr:uid="{00000000-0005-0000-0000-00004F170000}"/>
    <cellStyle name="Normal 12 3 5" xfId="5969" xr:uid="{00000000-0005-0000-0000-000050170000}"/>
    <cellStyle name="Normal 12 3 5 2" xfId="5970" xr:uid="{00000000-0005-0000-0000-000051170000}"/>
    <cellStyle name="Normal 12 3 5 2 2" xfId="5971" xr:uid="{00000000-0005-0000-0000-000052170000}"/>
    <cellStyle name="Normal 12 3 5 2 3" xfId="5972" xr:uid="{00000000-0005-0000-0000-000053170000}"/>
    <cellStyle name="Normal 12 3 5 2_BD" xfId="5973" xr:uid="{00000000-0005-0000-0000-000054170000}"/>
    <cellStyle name="Normal 12 3 5 3" xfId="5974" xr:uid="{00000000-0005-0000-0000-000055170000}"/>
    <cellStyle name="Normal 12 3 5 3 2" xfId="5975" xr:uid="{00000000-0005-0000-0000-000056170000}"/>
    <cellStyle name="Normal 12 3 5 3 3" xfId="5976" xr:uid="{00000000-0005-0000-0000-000057170000}"/>
    <cellStyle name="Normal 12 3 5 3_BD" xfId="5977" xr:uid="{00000000-0005-0000-0000-000058170000}"/>
    <cellStyle name="Normal 12 3 5 4" xfId="5978" xr:uid="{00000000-0005-0000-0000-000059170000}"/>
    <cellStyle name="Normal 12 3 5 5" xfId="5979" xr:uid="{00000000-0005-0000-0000-00005A170000}"/>
    <cellStyle name="Normal 12 3 5_BD" xfId="5980" xr:uid="{00000000-0005-0000-0000-00005B170000}"/>
    <cellStyle name="Normal 12 3 6" xfId="5981" xr:uid="{00000000-0005-0000-0000-00005C170000}"/>
    <cellStyle name="Normal 12 3 6 2" xfId="5982" xr:uid="{00000000-0005-0000-0000-00005D170000}"/>
    <cellStyle name="Normal 12 3 6 2 2" xfId="5983" xr:uid="{00000000-0005-0000-0000-00005E170000}"/>
    <cellStyle name="Normal 12 3 6 2 3" xfId="5984" xr:uid="{00000000-0005-0000-0000-00005F170000}"/>
    <cellStyle name="Normal 12 3 6 2_BD" xfId="5985" xr:uid="{00000000-0005-0000-0000-000060170000}"/>
    <cellStyle name="Normal 12 3 6 3" xfId="5986" xr:uid="{00000000-0005-0000-0000-000061170000}"/>
    <cellStyle name="Normal 12 3 6 3 2" xfId="5987" xr:uid="{00000000-0005-0000-0000-000062170000}"/>
    <cellStyle name="Normal 12 3 6 3 3" xfId="5988" xr:uid="{00000000-0005-0000-0000-000063170000}"/>
    <cellStyle name="Normal 12 3 6 3_BD" xfId="5989" xr:uid="{00000000-0005-0000-0000-000064170000}"/>
    <cellStyle name="Normal 12 3 6 4" xfId="5990" xr:uid="{00000000-0005-0000-0000-000065170000}"/>
    <cellStyle name="Normal 12 3 6 5" xfId="5991" xr:uid="{00000000-0005-0000-0000-000066170000}"/>
    <cellStyle name="Normal 12 3 6_BD" xfId="5992" xr:uid="{00000000-0005-0000-0000-000067170000}"/>
    <cellStyle name="Normal 12 3 7" xfId="5993" xr:uid="{00000000-0005-0000-0000-000068170000}"/>
    <cellStyle name="Normal 12 3 7 2" xfId="5994" xr:uid="{00000000-0005-0000-0000-000069170000}"/>
    <cellStyle name="Normal 12 3 7 3" xfId="5995" xr:uid="{00000000-0005-0000-0000-00006A170000}"/>
    <cellStyle name="Normal 12 3 7_BD" xfId="5996" xr:uid="{00000000-0005-0000-0000-00006B170000}"/>
    <cellStyle name="Normal 12 3 8" xfId="5997" xr:uid="{00000000-0005-0000-0000-00006C170000}"/>
    <cellStyle name="Normal 12 3 8 2" xfId="5998" xr:uid="{00000000-0005-0000-0000-00006D170000}"/>
    <cellStyle name="Normal 12 3 8 3" xfId="5999" xr:uid="{00000000-0005-0000-0000-00006E170000}"/>
    <cellStyle name="Normal 12 3 8_BD" xfId="6000" xr:uid="{00000000-0005-0000-0000-00006F170000}"/>
    <cellStyle name="Normal 12 3 9" xfId="6001" xr:uid="{00000000-0005-0000-0000-000070170000}"/>
    <cellStyle name="Normal 12 3_BD" xfId="6002" xr:uid="{00000000-0005-0000-0000-000071170000}"/>
    <cellStyle name="Normal 12 4" xfId="6003" xr:uid="{00000000-0005-0000-0000-000072170000}"/>
    <cellStyle name="Normal 12 4 10" xfId="6004" xr:uid="{00000000-0005-0000-0000-000073170000}"/>
    <cellStyle name="Normal 12 4 2" xfId="6005" xr:uid="{00000000-0005-0000-0000-000074170000}"/>
    <cellStyle name="Normal 12 4 2 2" xfId="6006" xr:uid="{00000000-0005-0000-0000-000075170000}"/>
    <cellStyle name="Normal 12 4 2 2 2" xfId="6007" xr:uid="{00000000-0005-0000-0000-000076170000}"/>
    <cellStyle name="Normal 12 4 2 2 3" xfId="6008" xr:uid="{00000000-0005-0000-0000-000077170000}"/>
    <cellStyle name="Normal 12 4 2 2_BD" xfId="6009" xr:uid="{00000000-0005-0000-0000-000078170000}"/>
    <cellStyle name="Normal 12 4 2 3" xfId="6010" xr:uid="{00000000-0005-0000-0000-000079170000}"/>
    <cellStyle name="Normal 12 4 2 3 2" xfId="6011" xr:uid="{00000000-0005-0000-0000-00007A170000}"/>
    <cellStyle name="Normal 12 4 2 3 3" xfId="6012" xr:uid="{00000000-0005-0000-0000-00007B170000}"/>
    <cellStyle name="Normal 12 4 2 3_BD" xfId="6013" xr:uid="{00000000-0005-0000-0000-00007C170000}"/>
    <cellStyle name="Normal 12 4 2 4" xfId="6014" xr:uid="{00000000-0005-0000-0000-00007D170000}"/>
    <cellStyle name="Normal 12 4 2 5" xfId="6015" xr:uid="{00000000-0005-0000-0000-00007E170000}"/>
    <cellStyle name="Normal 12 4 2_BD" xfId="6016" xr:uid="{00000000-0005-0000-0000-00007F170000}"/>
    <cellStyle name="Normal 12 4 3" xfId="6017" xr:uid="{00000000-0005-0000-0000-000080170000}"/>
    <cellStyle name="Normal 12 4 3 2" xfId="6018" xr:uid="{00000000-0005-0000-0000-000081170000}"/>
    <cellStyle name="Normal 12 4 3 2 2" xfId="6019" xr:uid="{00000000-0005-0000-0000-000082170000}"/>
    <cellStyle name="Normal 12 4 3 2 3" xfId="6020" xr:uid="{00000000-0005-0000-0000-000083170000}"/>
    <cellStyle name="Normal 12 4 3 2_BD" xfId="6021" xr:uid="{00000000-0005-0000-0000-000084170000}"/>
    <cellStyle name="Normal 12 4 3 3" xfId="6022" xr:uid="{00000000-0005-0000-0000-000085170000}"/>
    <cellStyle name="Normal 12 4 3 3 2" xfId="6023" xr:uid="{00000000-0005-0000-0000-000086170000}"/>
    <cellStyle name="Normal 12 4 3 3 3" xfId="6024" xr:uid="{00000000-0005-0000-0000-000087170000}"/>
    <cellStyle name="Normal 12 4 3 3_BD" xfId="6025" xr:uid="{00000000-0005-0000-0000-000088170000}"/>
    <cellStyle name="Normal 12 4 3 4" xfId="6026" xr:uid="{00000000-0005-0000-0000-000089170000}"/>
    <cellStyle name="Normal 12 4 3 5" xfId="6027" xr:uid="{00000000-0005-0000-0000-00008A170000}"/>
    <cellStyle name="Normal 12 4 3_BD" xfId="6028" xr:uid="{00000000-0005-0000-0000-00008B170000}"/>
    <cellStyle name="Normal 12 4 4" xfId="6029" xr:uid="{00000000-0005-0000-0000-00008C170000}"/>
    <cellStyle name="Normal 12 4 4 2" xfId="6030" xr:uid="{00000000-0005-0000-0000-00008D170000}"/>
    <cellStyle name="Normal 12 4 4 2 2" xfId="6031" xr:uid="{00000000-0005-0000-0000-00008E170000}"/>
    <cellStyle name="Normal 12 4 4 2 3" xfId="6032" xr:uid="{00000000-0005-0000-0000-00008F170000}"/>
    <cellStyle name="Normal 12 4 4 2_BD" xfId="6033" xr:uid="{00000000-0005-0000-0000-000090170000}"/>
    <cellStyle name="Normal 12 4 4 3" xfId="6034" xr:uid="{00000000-0005-0000-0000-000091170000}"/>
    <cellStyle name="Normal 12 4 4 3 2" xfId="6035" xr:uid="{00000000-0005-0000-0000-000092170000}"/>
    <cellStyle name="Normal 12 4 4 3 3" xfId="6036" xr:uid="{00000000-0005-0000-0000-000093170000}"/>
    <cellStyle name="Normal 12 4 4 3_BD" xfId="6037" xr:uid="{00000000-0005-0000-0000-000094170000}"/>
    <cellStyle name="Normal 12 4 4 4" xfId="6038" xr:uid="{00000000-0005-0000-0000-000095170000}"/>
    <cellStyle name="Normal 12 4 4 5" xfId="6039" xr:uid="{00000000-0005-0000-0000-000096170000}"/>
    <cellStyle name="Normal 12 4 4_BD" xfId="6040" xr:uid="{00000000-0005-0000-0000-000097170000}"/>
    <cellStyle name="Normal 12 4 5" xfId="6041" xr:uid="{00000000-0005-0000-0000-000098170000}"/>
    <cellStyle name="Normal 12 4 5 2" xfId="6042" xr:uid="{00000000-0005-0000-0000-000099170000}"/>
    <cellStyle name="Normal 12 4 5 2 2" xfId="6043" xr:uid="{00000000-0005-0000-0000-00009A170000}"/>
    <cellStyle name="Normal 12 4 5 2 3" xfId="6044" xr:uid="{00000000-0005-0000-0000-00009B170000}"/>
    <cellStyle name="Normal 12 4 5 2_BD" xfId="6045" xr:uid="{00000000-0005-0000-0000-00009C170000}"/>
    <cellStyle name="Normal 12 4 5 3" xfId="6046" xr:uid="{00000000-0005-0000-0000-00009D170000}"/>
    <cellStyle name="Normal 12 4 5 3 2" xfId="6047" xr:uid="{00000000-0005-0000-0000-00009E170000}"/>
    <cellStyle name="Normal 12 4 5 3 3" xfId="6048" xr:uid="{00000000-0005-0000-0000-00009F170000}"/>
    <cellStyle name="Normal 12 4 5 3_BD" xfId="6049" xr:uid="{00000000-0005-0000-0000-0000A0170000}"/>
    <cellStyle name="Normal 12 4 5 4" xfId="6050" xr:uid="{00000000-0005-0000-0000-0000A1170000}"/>
    <cellStyle name="Normal 12 4 5 5" xfId="6051" xr:uid="{00000000-0005-0000-0000-0000A2170000}"/>
    <cellStyle name="Normal 12 4 5_BD" xfId="6052" xr:uid="{00000000-0005-0000-0000-0000A3170000}"/>
    <cellStyle name="Normal 12 4 6" xfId="6053" xr:uid="{00000000-0005-0000-0000-0000A4170000}"/>
    <cellStyle name="Normal 12 4 6 2" xfId="6054" xr:uid="{00000000-0005-0000-0000-0000A5170000}"/>
    <cellStyle name="Normal 12 4 6 2 2" xfId="6055" xr:uid="{00000000-0005-0000-0000-0000A6170000}"/>
    <cellStyle name="Normal 12 4 6 2 3" xfId="6056" xr:uid="{00000000-0005-0000-0000-0000A7170000}"/>
    <cellStyle name="Normal 12 4 6 2_BD" xfId="6057" xr:uid="{00000000-0005-0000-0000-0000A8170000}"/>
    <cellStyle name="Normal 12 4 6 3" xfId="6058" xr:uid="{00000000-0005-0000-0000-0000A9170000}"/>
    <cellStyle name="Normal 12 4 6 3 2" xfId="6059" xr:uid="{00000000-0005-0000-0000-0000AA170000}"/>
    <cellStyle name="Normal 12 4 6 3 3" xfId="6060" xr:uid="{00000000-0005-0000-0000-0000AB170000}"/>
    <cellStyle name="Normal 12 4 6 3_BD" xfId="6061" xr:uid="{00000000-0005-0000-0000-0000AC170000}"/>
    <cellStyle name="Normal 12 4 6 4" xfId="6062" xr:uid="{00000000-0005-0000-0000-0000AD170000}"/>
    <cellStyle name="Normal 12 4 6 5" xfId="6063" xr:uid="{00000000-0005-0000-0000-0000AE170000}"/>
    <cellStyle name="Normal 12 4 6_BD" xfId="6064" xr:uid="{00000000-0005-0000-0000-0000AF170000}"/>
    <cellStyle name="Normal 12 4 7" xfId="6065" xr:uid="{00000000-0005-0000-0000-0000B0170000}"/>
    <cellStyle name="Normal 12 4 7 2" xfId="6066" xr:uid="{00000000-0005-0000-0000-0000B1170000}"/>
    <cellStyle name="Normal 12 4 7 3" xfId="6067" xr:uid="{00000000-0005-0000-0000-0000B2170000}"/>
    <cellStyle name="Normal 12 4 7_BD" xfId="6068" xr:uid="{00000000-0005-0000-0000-0000B3170000}"/>
    <cellStyle name="Normal 12 4 8" xfId="6069" xr:uid="{00000000-0005-0000-0000-0000B4170000}"/>
    <cellStyle name="Normal 12 4 8 2" xfId="6070" xr:uid="{00000000-0005-0000-0000-0000B5170000}"/>
    <cellStyle name="Normal 12 4 8 3" xfId="6071" xr:uid="{00000000-0005-0000-0000-0000B6170000}"/>
    <cellStyle name="Normal 12 4 8_BD" xfId="6072" xr:uid="{00000000-0005-0000-0000-0000B7170000}"/>
    <cellStyle name="Normal 12 4 9" xfId="6073" xr:uid="{00000000-0005-0000-0000-0000B8170000}"/>
    <cellStyle name="Normal 12 4_BD" xfId="6074" xr:uid="{00000000-0005-0000-0000-0000B9170000}"/>
    <cellStyle name="Normal 12 5" xfId="6075" xr:uid="{00000000-0005-0000-0000-0000BA170000}"/>
    <cellStyle name="Normal 12 5 2" xfId="6076" xr:uid="{00000000-0005-0000-0000-0000BB170000}"/>
    <cellStyle name="Normal 12 5 2 2" xfId="6077" xr:uid="{00000000-0005-0000-0000-0000BC170000}"/>
    <cellStyle name="Normal 12 5 2 3" xfId="6078" xr:uid="{00000000-0005-0000-0000-0000BD170000}"/>
    <cellStyle name="Normal 12 5 2_BD" xfId="6079" xr:uid="{00000000-0005-0000-0000-0000BE170000}"/>
    <cellStyle name="Normal 12 5 3" xfId="6080" xr:uid="{00000000-0005-0000-0000-0000BF170000}"/>
    <cellStyle name="Normal 12 5 3 2" xfId="6081" xr:uid="{00000000-0005-0000-0000-0000C0170000}"/>
    <cellStyle name="Normal 12 5 3 3" xfId="6082" xr:uid="{00000000-0005-0000-0000-0000C1170000}"/>
    <cellStyle name="Normal 12 5 3_BD" xfId="6083" xr:uid="{00000000-0005-0000-0000-0000C2170000}"/>
    <cellStyle name="Normal 12 5 4" xfId="6084" xr:uid="{00000000-0005-0000-0000-0000C3170000}"/>
    <cellStyle name="Normal 12 5 5" xfId="6085" xr:uid="{00000000-0005-0000-0000-0000C4170000}"/>
    <cellStyle name="Normal 12 5_BD" xfId="6086" xr:uid="{00000000-0005-0000-0000-0000C5170000}"/>
    <cellStyle name="Normal 12 6" xfId="6087" xr:uid="{00000000-0005-0000-0000-0000C6170000}"/>
    <cellStyle name="Normal 12 6 2" xfId="6088" xr:uid="{00000000-0005-0000-0000-0000C7170000}"/>
    <cellStyle name="Normal 12 6 2 2" xfId="6089" xr:uid="{00000000-0005-0000-0000-0000C8170000}"/>
    <cellStyle name="Normal 12 6 2 3" xfId="6090" xr:uid="{00000000-0005-0000-0000-0000C9170000}"/>
    <cellStyle name="Normal 12 6 2_BD" xfId="6091" xr:uid="{00000000-0005-0000-0000-0000CA170000}"/>
    <cellStyle name="Normal 12 6 3" xfId="6092" xr:uid="{00000000-0005-0000-0000-0000CB170000}"/>
    <cellStyle name="Normal 12 6 3 2" xfId="6093" xr:uid="{00000000-0005-0000-0000-0000CC170000}"/>
    <cellStyle name="Normal 12 6 3 3" xfId="6094" xr:uid="{00000000-0005-0000-0000-0000CD170000}"/>
    <cellStyle name="Normal 12 6 3_BD" xfId="6095" xr:uid="{00000000-0005-0000-0000-0000CE170000}"/>
    <cellStyle name="Normal 12 6 4" xfId="6096" xr:uid="{00000000-0005-0000-0000-0000CF170000}"/>
    <cellStyle name="Normal 12 6 5" xfId="6097" xr:uid="{00000000-0005-0000-0000-0000D0170000}"/>
    <cellStyle name="Normal 12 6_BD" xfId="6098" xr:uid="{00000000-0005-0000-0000-0000D1170000}"/>
    <cellStyle name="Normal 12 7" xfId="6099" xr:uid="{00000000-0005-0000-0000-0000D2170000}"/>
    <cellStyle name="Normal 12 7 2" xfId="6100" xr:uid="{00000000-0005-0000-0000-0000D3170000}"/>
    <cellStyle name="Normal 12 7 2 2" xfId="6101" xr:uid="{00000000-0005-0000-0000-0000D4170000}"/>
    <cellStyle name="Normal 12 7 2 3" xfId="6102" xr:uid="{00000000-0005-0000-0000-0000D5170000}"/>
    <cellStyle name="Normal 12 7 2_BD" xfId="6103" xr:uid="{00000000-0005-0000-0000-0000D6170000}"/>
    <cellStyle name="Normal 12 7 3" xfId="6104" xr:uid="{00000000-0005-0000-0000-0000D7170000}"/>
    <cellStyle name="Normal 12 7 3 2" xfId="6105" xr:uid="{00000000-0005-0000-0000-0000D8170000}"/>
    <cellStyle name="Normal 12 7 3 3" xfId="6106" xr:uid="{00000000-0005-0000-0000-0000D9170000}"/>
    <cellStyle name="Normal 12 7 3_BD" xfId="6107" xr:uid="{00000000-0005-0000-0000-0000DA170000}"/>
    <cellStyle name="Normal 12 7 4" xfId="6108" xr:uid="{00000000-0005-0000-0000-0000DB170000}"/>
    <cellStyle name="Normal 12 7 5" xfId="6109" xr:uid="{00000000-0005-0000-0000-0000DC170000}"/>
    <cellStyle name="Normal 12 7_BD" xfId="6110" xr:uid="{00000000-0005-0000-0000-0000DD170000}"/>
    <cellStyle name="Normal 12 8" xfId="6111" xr:uid="{00000000-0005-0000-0000-0000DE170000}"/>
    <cellStyle name="Normal 12 8 2" xfId="6112" xr:uid="{00000000-0005-0000-0000-0000DF170000}"/>
    <cellStyle name="Normal 12 8 2 2" xfId="6113" xr:uid="{00000000-0005-0000-0000-0000E0170000}"/>
    <cellStyle name="Normal 12 8 2 3" xfId="6114" xr:uid="{00000000-0005-0000-0000-0000E1170000}"/>
    <cellStyle name="Normal 12 8 2_BD" xfId="6115" xr:uid="{00000000-0005-0000-0000-0000E2170000}"/>
    <cellStyle name="Normal 12 8 3" xfId="6116" xr:uid="{00000000-0005-0000-0000-0000E3170000}"/>
    <cellStyle name="Normal 12 8 3 2" xfId="6117" xr:uid="{00000000-0005-0000-0000-0000E4170000}"/>
    <cellStyle name="Normal 12 8 3 3" xfId="6118" xr:uid="{00000000-0005-0000-0000-0000E5170000}"/>
    <cellStyle name="Normal 12 8 3_BD" xfId="6119" xr:uid="{00000000-0005-0000-0000-0000E6170000}"/>
    <cellStyle name="Normal 12 8 4" xfId="6120" xr:uid="{00000000-0005-0000-0000-0000E7170000}"/>
    <cellStyle name="Normal 12 8 5" xfId="6121" xr:uid="{00000000-0005-0000-0000-0000E8170000}"/>
    <cellStyle name="Normal 12 8_BD" xfId="6122" xr:uid="{00000000-0005-0000-0000-0000E9170000}"/>
    <cellStyle name="Normal 12 9" xfId="6123" xr:uid="{00000000-0005-0000-0000-0000EA170000}"/>
    <cellStyle name="Normal 12 9 2" xfId="6124" xr:uid="{00000000-0005-0000-0000-0000EB170000}"/>
    <cellStyle name="Normal 12 9 2 2" xfId="6125" xr:uid="{00000000-0005-0000-0000-0000EC170000}"/>
    <cellStyle name="Normal 12 9 2 3" xfId="6126" xr:uid="{00000000-0005-0000-0000-0000ED170000}"/>
    <cellStyle name="Normal 12 9 2_BD" xfId="6127" xr:uid="{00000000-0005-0000-0000-0000EE170000}"/>
    <cellStyle name="Normal 12 9 3" xfId="6128" xr:uid="{00000000-0005-0000-0000-0000EF170000}"/>
    <cellStyle name="Normal 12 9 3 2" xfId="6129" xr:uid="{00000000-0005-0000-0000-0000F0170000}"/>
    <cellStyle name="Normal 12 9 3 3" xfId="6130" xr:uid="{00000000-0005-0000-0000-0000F1170000}"/>
    <cellStyle name="Normal 12 9 3_BD" xfId="6131" xr:uid="{00000000-0005-0000-0000-0000F2170000}"/>
    <cellStyle name="Normal 12 9 4" xfId="6132" xr:uid="{00000000-0005-0000-0000-0000F3170000}"/>
    <cellStyle name="Normal 12 9 5" xfId="6133" xr:uid="{00000000-0005-0000-0000-0000F4170000}"/>
    <cellStyle name="Normal 12 9_BD" xfId="6134" xr:uid="{00000000-0005-0000-0000-0000F5170000}"/>
    <cellStyle name="Normal 12_BD" xfId="6135" xr:uid="{00000000-0005-0000-0000-0000F6170000}"/>
    <cellStyle name="Normal 13" xfId="6136" xr:uid="{00000000-0005-0000-0000-0000F7170000}"/>
    <cellStyle name="Normal 13 10" xfId="6137" xr:uid="{00000000-0005-0000-0000-0000F8170000}"/>
    <cellStyle name="Normal 13 10 2" xfId="6138" xr:uid="{00000000-0005-0000-0000-0000F9170000}"/>
    <cellStyle name="Normal 13 10 3" xfId="6139" xr:uid="{00000000-0005-0000-0000-0000FA170000}"/>
    <cellStyle name="Normal 13 10_BD" xfId="6140" xr:uid="{00000000-0005-0000-0000-0000FB170000}"/>
    <cellStyle name="Normal 13 11" xfId="6141" xr:uid="{00000000-0005-0000-0000-0000FC170000}"/>
    <cellStyle name="Normal 13 11 2" xfId="6142" xr:uid="{00000000-0005-0000-0000-0000FD170000}"/>
    <cellStyle name="Normal 13 11 3" xfId="6143" xr:uid="{00000000-0005-0000-0000-0000FE170000}"/>
    <cellStyle name="Normal 13 11_BD" xfId="6144" xr:uid="{00000000-0005-0000-0000-0000FF170000}"/>
    <cellStyle name="Normal 13 12" xfId="6145" xr:uid="{00000000-0005-0000-0000-000000180000}"/>
    <cellStyle name="Normal 13 13" xfId="6146" xr:uid="{00000000-0005-0000-0000-000001180000}"/>
    <cellStyle name="Normal 13 2" xfId="6147" xr:uid="{00000000-0005-0000-0000-000002180000}"/>
    <cellStyle name="Normal 13 2 10" xfId="6148" xr:uid="{00000000-0005-0000-0000-000003180000}"/>
    <cellStyle name="Normal 13 2 2" xfId="6149" xr:uid="{00000000-0005-0000-0000-000004180000}"/>
    <cellStyle name="Normal 13 2 2 2" xfId="6150" xr:uid="{00000000-0005-0000-0000-000005180000}"/>
    <cellStyle name="Normal 13 2 2 2 2" xfId="6151" xr:uid="{00000000-0005-0000-0000-000006180000}"/>
    <cellStyle name="Normal 13 2 2 2 3" xfId="6152" xr:uid="{00000000-0005-0000-0000-000007180000}"/>
    <cellStyle name="Normal 13 2 2 2_BD" xfId="6153" xr:uid="{00000000-0005-0000-0000-000008180000}"/>
    <cellStyle name="Normal 13 2 2 3" xfId="6154" xr:uid="{00000000-0005-0000-0000-000009180000}"/>
    <cellStyle name="Normal 13 2 2 3 2" xfId="6155" xr:uid="{00000000-0005-0000-0000-00000A180000}"/>
    <cellStyle name="Normal 13 2 2 3 3" xfId="6156" xr:uid="{00000000-0005-0000-0000-00000B180000}"/>
    <cellStyle name="Normal 13 2 2 3_BD" xfId="6157" xr:uid="{00000000-0005-0000-0000-00000C180000}"/>
    <cellStyle name="Normal 13 2 2 4" xfId="6158" xr:uid="{00000000-0005-0000-0000-00000D180000}"/>
    <cellStyle name="Normal 13 2 2 5" xfId="6159" xr:uid="{00000000-0005-0000-0000-00000E180000}"/>
    <cellStyle name="Normal 13 2 2_BD" xfId="6160" xr:uid="{00000000-0005-0000-0000-00000F180000}"/>
    <cellStyle name="Normal 13 2 3" xfId="6161" xr:uid="{00000000-0005-0000-0000-000010180000}"/>
    <cellStyle name="Normal 13 2 3 2" xfId="6162" xr:uid="{00000000-0005-0000-0000-000011180000}"/>
    <cellStyle name="Normal 13 2 3 2 2" xfId="6163" xr:uid="{00000000-0005-0000-0000-000012180000}"/>
    <cellStyle name="Normal 13 2 3 2 3" xfId="6164" xr:uid="{00000000-0005-0000-0000-000013180000}"/>
    <cellStyle name="Normal 13 2 3 2_BD" xfId="6165" xr:uid="{00000000-0005-0000-0000-000014180000}"/>
    <cellStyle name="Normal 13 2 3 3" xfId="6166" xr:uid="{00000000-0005-0000-0000-000015180000}"/>
    <cellStyle name="Normal 13 2 3 3 2" xfId="6167" xr:uid="{00000000-0005-0000-0000-000016180000}"/>
    <cellStyle name="Normal 13 2 3 3 3" xfId="6168" xr:uid="{00000000-0005-0000-0000-000017180000}"/>
    <cellStyle name="Normal 13 2 3 3_BD" xfId="6169" xr:uid="{00000000-0005-0000-0000-000018180000}"/>
    <cellStyle name="Normal 13 2 3 4" xfId="6170" xr:uid="{00000000-0005-0000-0000-000019180000}"/>
    <cellStyle name="Normal 13 2 3 5" xfId="6171" xr:uid="{00000000-0005-0000-0000-00001A180000}"/>
    <cellStyle name="Normal 13 2 3_BD" xfId="6172" xr:uid="{00000000-0005-0000-0000-00001B180000}"/>
    <cellStyle name="Normal 13 2 4" xfId="6173" xr:uid="{00000000-0005-0000-0000-00001C180000}"/>
    <cellStyle name="Normal 13 2 4 2" xfId="6174" xr:uid="{00000000-0005-0000-0000-00001D180000}"/>
    <cellStyle name="Normal 13 2 4 2 2" xfId="6175" xr:uid="{00000000-0005-0000-0000-00001E180000}"/>
    <cellStyle name="Normal 13 2 4 2 3" xfId="6176" xr:uid="{00000000-0005-0000-0000-00001F180000}"/>
    <cellStyle name="Normal 13 2 4 2_BD" xfId="6177" xr:uid="{00000000-0005-0000-0000-000020180000}"/>
    <cellStyle name="Normal 13 2 4 3" xfId="6178" xr:uid="{00000000-0005-0000-0000-000021180000}"/>
    <cellStyle name="Normal 13 2 4 3 2" xfId="6179" xr:uid="{00000000-0005-0000-0000-000022180000}"/>
    <cellStyle name="Normal 13 2 4 3 3" xfId="6180" xr:uid="{00000000-0005-0000-0000-000023180000}"/>
    <cellStyle name="Normal 13 2 4 3_BD" xfId="6181" xr:uid="{00000000-0005-0000-0000-000024180000}"/>
    <cellStyle name="Normal 13 2 4 4" xfId="6182" xr:uid="{00000000-0005-0000-0000-000025180000}"/>
    <cellStyle name="Normal 13 2 4 5" xfId="6183" xr:uid="{00000000-0005-0000-0000-000026180000}"/>
    <cellStyle name="Normal 13 2 4_BD" xfId="6184" xr:uid="{00000000-0005-0000-0000-000027180000}"/>
    <cellStyle name="Normal 13 2 5" xfId="6185" xr:uid="{00000000-0005-0000-0000-000028180000}"/>
    <cellStyle name="Normal 13 2 5 2" xfId="6186" xr:uid="{00000000-0005-0000-0000-000029180000}"/>
    <cellStyle name="Normal 13 2 5 2 2" xfId="6187" xr:uid="{00000000-0005-0000-0000-00002A180000}"/>
    <cellStyle name="Normal 13 2 5 2 3" xfId="6188" xr:uid="{00000000-0005-0000-0000-00002B180000}"/>
    <cellStyle name="Normal 13 2 5 2_BD" xfId="6189" xr:uid="{00000000-0005-0000-0000-00002C180000}"/>
    <cellStyle name="Normal 13 2 5 3" xfId="6190" xr:uid="{00000000-0005-0000-0000-00002D180000}"/>
    <cellStyle name="Normal 13 2 5 3 2" xfId="6191" xr:uid="{00000000-0005-0000-0000-00002E180000}"/>
    <cellStyle name="Normal 13 2 5 3 3" xfId="6192" xr:uid="{00000000-0005-0000-0000-00002F180000}"/>
    <cellStyle name="Normal 13 2 5 3_BD" xfId="6193" xr:uid="{00000000-0005-0000-0000-000030180000}"/>
    <cellStyle name="Normal 13 2 5 4" xfId="6194" xr:uid="{00000000-0005-0000-0000-000031180000}"/>
    <cellStyle name="Normal 13 2 5 5" xfId="6195" xr:uid="{00000000-0005-0000-0000-000032180000}"/>
    <cellStyle name="Normal 13 2 5_BD" xfId="6196" xr:uid="{00000000-0005-0000-0000-000033180000}"/>
    <cellStyle name="Normal 13 2 6" xfId="6197" xr:uid="{00000000-0005-0000-0000-000034180000}"/>
    <cellStyle name="Normal 13 2 6 2" xfId="6198" xr:uid="{00000000-0005-0000-0000-000035180000}"/>
    <cellStyle name="Normal 13 2 6 2 2" xfId="6199" xr:uid="{00000000-0005-0000-0000-000036180000}"/>
    <cellStyle name="Normal 13 2 6 2 3" xfId="6200" xr:uid="{00000000-0005-0000-0000-000037180000}"/>
    <cellStyle name="Normal 13 2 6 2_BD" xfId="6201" xr:uid="{00000000-0005-0000-0000-000038180000}"/>
    <cellStyle name="Normal 13 2 6 3" xfId="6202" xr:uid="{00000000-0005-0000-0000-000039180000}"/>
    <cellStyle name="Normal 13 2 6 3 2" xfId="6203" xr:uid="{00000000-0005-0000-0000-00003A180000}"/>
    <cellStyle name="Normal 13 2 6 3 3" xfId="6204" xr:uid="{00000000-0005-0000-0000-00003B180000}"/>
    <cellStyle name="Normal 13 2 6 3_BD" xfId="6205" xr:uid="{00000000-0005-0000-0000-00003C180000}"/>
    <cellStyle name="Normal 13 2 6 4" xfId="6206" xr:uid="{00000000-0005-0000-0000-00003D180000}"/>
    <cellStyle name="Normal 13 2 6 5" xfId="6207" xr:uid="{00000000-0005-0000-0000-00003E180000}"/>
    <cellStyle name="Normal 13 2 6_BD" xfId="6208" xr:uid="{00000000-0005-0000-0000-00003F180000}"/>
    <cellStyle name="Normal 13 2 7" xfId="6209" xr:uid="{00000000-0005-0000-0000-000040180000}"/>
    <cellStyle name="Normal 13 2 7 2" xfId="6210" xr:uid="{00000000-0005-0000-0000-000041180000}"/>
    <cellStyle name="Normal 13 2 7 3" xfId="6211" xr:uid="{00000000-0005-0000-0000-000042180000}"/>
    <cellStyle name="Normal 13 2 7_BD" xfId="6212" xr:uid="{00000000-0005-0000-0000-000043180000}"/>
    <cellStyle name="Normal 13 2 8" xfId="6213" xr:uid="{00000000-0005-0000-0000-000044180000}"/>
    <cellStyle name="Normal 13 2 8 2" xfId="6214" xr:uid="{00000000-0005-0000-0000-000045180000}"/>
    <cellStyle name="Normal 13 2 8 3" xfId="6215" xr:uid="{00000000-0005-0000-0000-000046180000}"/>
    <cellStyle name="Normal 13 2 8_BD" xfId="6216" xr:uid="{00000000-0005-0000-0000-000047180000}"/>
    <cellStyle name="Normal 13 2 9" xfId="6217" xr:uid="{00000000-0005-0000-0000-000048180000}"/>
    <cellStyle name="Normal 13 2_BD" xfId="6218" xr:uid="{00000000-0005-0000-0000-000049180000}"/>
    <cellStyle name="Normal 13 3" xfId="6219" xr:uid="{00000000-0005-0000-0000-00004A180000}"/>
    <cellStyle name="Normal 13 3 10" xfId="6220" xr:uid="{00000000-0005-0000-0000-00004B180000}"/>
    <cellStyle name="Normal 13 3 2" xfId="6221" xr:uid="{00000000-0005-0000-0000-00004C180000}"/>
    <cellStyle name="Normal 13 3 2 2" xfId="6222" xr:uid="{00000000-0005-0000-0000-00004D180000}"/>
    <cellStyle name="Normal 13 3 2 2 2" xfId="6223" xr:uid="{00000000-0005-0000-0000-00004E180000}"/>
    <cellStyle name="Normal 13 3 2 2 3" xfId="6224" xr:uid="{00000000-0005-0000-0000-00004F180000}"/>
    <cellStyle name="Normal 13 3 2 2_BD" xfId="6225" xr:uid="{00000000-0005-0000-0000-000050180000}"/>
    <cellStyle name="Normal 13 3 2 3" xfId="6226" xr:uid="{00000000-0005-0000-0000-000051180000}"/>
    <cellStyle name="Normal 13 3 2 3 2" xfId="6227" xr:uid="{00000000-0005-0000-0000-000052180000}"/>
    <cellStyle name="Normal 13 3 2 3 3" xfId="6228" xr:uid="{00000000-0005-0000-0000-000053180000}"/>
    <cellStyle name="Normal 13 3 2 3_BD" xfId="6229" xr:uid="{00000000-0005-0000-0000-000054180000}"/>
    <cellStyle name="Normal 13 3 2 4" xfId="6230" xr:uid="{00000000-0005-0000-0000-000055180000}"/>
    <cellStyle name="Normal 13 3 2 5" xfId="6231" xr:uid="{00000000-0005-0000-0000-000056180000}"/>
    <cellStyle name="Normal 13 3 2_BD" xfId="6232" xr:uid="{00000000-0005-0000-0000-000057180000}"/>
    <cellStyle name="Normal 13 3 3" xfId="6233" xr:uid="{00000000-0005-0000-0000-000058180000}"/>
    <cellStyle name="Normal 13 3 3 2" xfId="6234" xr:uid="{00000000-0005-0000-0000-000059180000}"/>
    <cellStyle name="Normal 13 3 3 2 2" xfId="6235" xr:uid="{00000000-0005-0000-0000-00005A180000}"/>
    <cellStyle name="Normal 13 3 3 2 3" xfId="6236" xr:uid="{00000000-0005-0000-0000-00005B180000}"/>
    <cellStyle name="Normal 13 3 3 2_BD" xfId="6237" xr:uid="{00000000-0005-0000-0000-00005C180000}"/>
    <cellStyle name="Normal 13 3 3 3" xfId="6238" xr:uid="{00000000-0005-0000-0000-00005D180000}"/>
    <cellStyle name="Normal 13 3 3 3 2" xfId="6239" xr:uid="{00000000-0005-0000-0000-00005E180000}"/>
    <cellStyle name="Normal 13 3 3 3 3" xfId="6240" xr:uid="{00000000-0005-0000-0000-00005F180000}"/>
    <cellStyle name="Normal 13 3 3 3_BD" xfId="6241" xr:uid="{00000000-0005-0000-0000-000060180000}"/>
    <cellStyle name="Normal 13 3 3 4" xfId="6242" xr:uid="{00000000-0005-0000-0000-000061180000}"/>
    <cellStyle name="Normal 13 3 3 5" xfId="6243" xr:uid="{00000000-0005-0000-0000-000062180000}"/>
    <cellStyle name="Normal 13 3 3_BD" xfId="6244" xr:uid="{00000000-0005-0000-0000-000063180000}"/>
    <cellStyle name="Normal 13 3 4" xfId="6245" xr:uid="{00000000-0005-0000-0000-000064180000}"/>
    <cellStyle name="Normal 13 3 4 2" xfId="6246" xr:uid="{00000000-0005-0000-0000-000065180000}"/>
    <cellStyle name="Normal 13 3 4 2 2" xfId="6247" xr:uid="{00000000-0005-0000-0000-000066180000}"/>
    <cellStyle name="Normal 13 3 4 2 3" xfId="6248" xr:uid="{00000000-0005-0000-0000-000067180000}"/>
    <cellStyle name="Normal 13 3 4 2_BD" xfId="6249" xr:uid="{00000000-0005-0000-0000-000068180000}"/>
    <cellStyle name="Normal 13 3 4 3" xfId="6250" xr:uid="{00000000-0005-0000-0000-000069180000}"/>
    <cellStyle name="Normal 13 3 4 3 2" xfId="6251" xr:uid="{00000000-0005-0000-0000-00006A180000}"/>
    <cellStyle name="Normal 13 3 4 3 3" xfId="6252" xr:uid="{00000000-0005-0000-0000-00006B180000}"/>
    <cellStyle name="Normal 13 3 4 3_BD" xfId="6253" xr:uid="{00000000-0005-0000-0000-00006C180000}"/>
    <cellStyle name="Normal 13 3 4 4" xfId="6254" xr:uid="{00000000-0005-0000-0000-00006D180000}"/>
    <cellStyle name="Normal 13 3 4 5" xfId="6255" xr:uid="{00000000-0005-0000-0000-00006E180000}"/>
    <cellStyle name="Normal 13 3 4_BD" xfId="6256" xr:uid="{00000000-0005-0000-0000-00006F180000}"/>
    <cellStyle name="Normal 13 3 5" xfId="6257" xr:uid="{00000000-0005-0000-0000-000070180000}"/>
    <cellStyle name="Normal 13 3 5 2" xfId="6258" xr:uid="{00000000-0005-0000-0000-000071180000}"/>
    <cellStyle name="Normal 13 3 5 2 2" xfId="6259" xr:uid="{00000000-0005-0000-0000-000072180000}"/>
    <cellStyle name="Normal 13 3 5 2 3" xfId="6260" xr:uid="{00000000-0005-0000-0000-000073180000}"/>
    <cellStyle name="Normal 13 3 5 2_BD" xfId="6261" xr:uid="{00000000-0005-0000-0000-000074180000}"/>
    <cellStyle name="Normal 13 3 5 3" xfId="6262" xr:uid="{00000000-0005-0000-0000-000075180000}"/>
    <cellStyle name="Normal 13 3 5 3 2" xfId="6263" xr:uid="{00000000-0005-0000-0000-000076180000}"/>
    <cellStyle name="Normal 13 3 5 3 3" xfId="6264" xr:uid="{00000000-0005-0000-0000-000077180000}"/>
    <cellStyle name="Normal 13 3 5 3_BD" xfId="6265" xr:uid="{00000000-0005-0000-0000-000078180000}"/>
    <cellStyle name="Normal 13 3 5 4" xfId="6266" xr:uid="{00000000-0005-0000-0000-000079180000}"/>
    <cellStyle name="Normal 13 3 5 5" xfId="6267" xr:uid="{00000000-0005-0000-0000-00007A180000}"/>
    <cellStyle name="Normal 13 3 5_BD" xfId="6268" xr:uid="{00000000-0005-0000-0000-00007B180000}"/>
    <cellStyle name="Normal 13 3 6" xfId="6269" xr:uid="{00000000-0005-0000-0000-00007C180000}"/>
    <cellStyle name="Normal 13 3 6 2" xfId="6270" xr:uid="{00000000-0005-0000-0000-00007D180000}"/>
    <cellStyle name="Normal 13 3 6 2 2" xfId="6271" xr:uid="{00000000-0005-0000-0000-00007E180000}"/>
    <cellStyle name="Normal 13 3 6 2 3" xfId="6272" xr:uid="{00000000-0005-0000-0000-00007F180000}"/>
    <cellStyle name="Normal 13 3 6 2_BD" xfId="6273" xr:uid="{00000000-0005-0000-0000-000080180000}"/>
    <cellStyle name="Normal 13 3 6 3" xfId="6274" xr:uid="{00000000-0005-0000-0000-000081180000}"/>
    <cellStyle name="Normal 13 3 6 3 2" xfId="6275" xr:uid="{00000000-0005-0000-0000-000082180000}"/>
    <cellStyle name="Normal 13 3 6 3 3" xfId="6276" xr:uid="{00000000-0005-0000-0000-000083180000}"/>
    <cellStyle name="Normal 13 3 6 3_BD" xfId="6277" xr:uid="{00000000-0005-0000-0000-000084180000}"/>
    <cellStyle name="Normal 13 3 6 4" xfId="6278" xr:uid="{00000000-0005-0000-0000-000085180000}"/>
    <cellStyle name="Normal 13 3 6 5" xfId="6279" xr:uid="{00000000-0005-0000-0000-000086180000}"/>
    <cellStyle name="Normal 13 3 6_BD" xfId="6280" xr:uid="{00000000-0005-0000-0000-000087180000}"/>
    <cellStyle name="Normal 13 3 7" xfId="6281" xr:uid="{00000000-0005-0000-0000-000088180000}"/>
    <cellStyle name="Normal 13 3 7 2" xfId="6282" xr:uid="{00000000-0005-0000-0000-000089180000}"/>
    <cellStyle name="Normal 13 3 7 3" xfId="6283" xr:uid="{00000000-0005-0000-0000-00008A180000}"/>
    <cellStyle name="Normal 13 3 7_BD" xfId="6284" xr:uid="{00000000-0005-0000-0000-00008B180000}"/>
    <cellStyle name="Normal 13 3 8" xfId="6285" xr:uid="{00000000-0005-0000-0000-00008C180000}"/>
    <cellStyle name="Normal 13 3 8 2" xfId="6286" xr:uid="{00000000-0005-0000-0000-00008D180000}"/>
    <cellStyle name="Normal 13 3 8 3" xfId="6287" xr:uid="{00000000-0005-0000-0000-00008E180000}"/>
    <cellStyle name="Normal 13 3 8_BD" xfId="6288" xr:uid="{00000000-0005-0000-0000-00008F180000}"/>
    <cellStyle name="Normal 13 3 9" xfId="6289" xr:uid="{00000000-0005-0000-0000-000090180000}"/>
    <cellStyle name="Normal 13 3_BD" xfId="6290" xr:uid="{00000000-0005-0000-0000-000091180000}"/>
    <cellStyle name="Normal 13 4" xfId="6291" xr:uid="{00000000-0005-0000-0000-000092180000}"/>
    <cellStyle name="Normal 13 4 10" xfId="6292" xr:uid="{00000000-0005-0000-0000-000093180000}"/>
    <cellStyle name="Normal 13 4 2" xfId="6293" xr:uid="{00000000-0005-0000-0000-000094180000}"/>
    <cellStyle name="Normal 13 4 2 2" xfId="6294" xr:uid="{00000000-0005-0000-0000-000095180000}"/>
    <cellStyle name="Normal 13 4 2 2 2" xfId="6295" xr:uid="{00000000-0005-0000-0000-000096180000}"/>
    <cellStyle name="Normal 13 4 2 2 3" xfId="6296" xr:uid="{00000000-0005-0000-0000-000097180000}"/>
    <cellStyle name="Normal 13 4 2 2_BD" xfId="6297" xr:uid="{00000000-0005-0000-0000-000098180000}"/>
    <cellStyle name="Normal 13 4 2 3" xfId="6298" xr:uid="{00000000-0005-0000-0000-000099180000}"/>
    <cellStyle name="Normal 13 4 2 3 2" xfId="6299" xr:uid="{00000000-0005-0000-0000-00009A180000}"/>
    <cellStyle name="Normal 13 4 2 3 3" xfId="6300" xr:uid="{00000000-0005-0000-0000-00009B180000}"/>
    <cellStyle name="Normal 13 4 2 3_BD" xfId="6301" xr:uid="{00000000-0005-0000-0000-00009C180000}"/>
    <cellStyle name="Normal 13 4 2 4" xfId="6302" xr:uid="{00000000-0005-0000-0000-00009D180000}"/>
    <cellStyle name="Normal 13 4 2 5" xfId="6303" xr:uid="{00000000-0005-0000-0000-00009E180000}"/>
    <cellStyle name="Normal 13 4 2_BD" xfId="6304" xr:uid="{00000000-0005-0000-0000-00009F180000}"/>
    <cellStyle name="Normal 13 4 3" xfId="6305" xr:uid="{00000000-0005-0000-0000-0000A0180000}"/>
    <cellStyle name="Normal 13 4 3 2" xfId="6306" xr:uid="{00000000-0005-0000-0000-0000A1180000}"/>
    <cellStyle name="Normal 13 4 3 2 2" xfId="6307" xr:uid="{00000000-0005-0000-0000-0000A2180000}"/>
    <cellStyle name="Normal 13 4 3 2 3" xfId="6308" xr:uid="{00000000-0005-0000-0000-0000A3180000}"/>
    <cellStyle name="Normal 13 4 3 2_BD" xfId="6309" xr:uid="{00000000-0005-0000-0000-0000A4180000}"/>
    <cellStyle name="Normal 13 4 3 3" xfId="6310" xr:uid="{00000000-0005-0000-0000-0000A5180000}"/>
    <cellStyle name="Normal 13 4 3 3 2" xfId="6311" xr:uid="{00000000-0005-0000-0000-0000A6180000}"/>
    <cellStyle name="Normal 13 4 3 3 3" xfId="6312" xr:uid="{00000000-0005-0000-0000-0000A7180000}"/>
    <cellStyle name="Normal 13 4 3 3_BD" xfId="6313" xr:uid="{00000000-0005-0000-0000-0000A8180000}"/>
    <cellStyle name="Normal 13 4 3 4" xfId="6314" xr:uid="{00000000-0005-0000-0000-0000A9180000}"/>
    <cellStyle name="Normal 13 4 3 5" xfId="6315" xr:uid="{00000000-0005-0000-0000-0000AA180000}"/>
    <cellStyle name="Normal 13 4 3_BD" xfId="6316" xr:uid="{00000000-0005-0000-0000-0000AB180000}"/>
    <cellStyle name="Normal 13 4 4" xfId="6317" xr:uid="{00000000-0005-0000-0000-0000AC180000}"/>
    <cellStyle name="Normal 13 4 4 2" xfId="6318" xr:uid="{00000000-0005-0000-0000-0000AD180000}"/>
    <cellStyle name="Normal 13 4 4 2 2" xfId="6319" xr:uid="{00000000-0005-0000-0000-0000AE180000}"/>
    <cellStyle name="Normal 13 4 4 2 3" xfId="6320" xr:uid="{00000000-0005-0000-0000-0000AF180000}"/>
    <cellStyle name="Normal 13 4 4 2_BD" xfId="6321" xr:uid="{00000000-0005-0000-0000-0000B0180000}"/>
    <cellStyle name="Normal 13 4 4 3" xfId="6322" xr:uid="{00000000-0005-0000-0000-0000B1180000}"/>
    <cellStyle name="Normal 13 4 4 3 2" xfId="6323" xr:uid="{00000000-0005-0000-0000-0000B2180000}"/>
    <cellStyle name="Normal 13 4 4 3 3" xfId="6324" xr:uid="{00000000-0005-0000-0000-0000B3180000}"/>
    <cellStyle name="Normal 13 4 4 3_BD" xfId="6325" xr:uid="{00000000-0005-0000-0000-0000B4180000}"/>
    <cellStyle name="Normal 13 4 4 4" xfId="6326" xr:uid="{00000000-0005-0000-0000-0000B5180000}"/>
    <cellStyle name="Normal 13 4 4 5" xfId="6327" xr:uid="{00000000-0005-0000-0000-0000B6180000}"/>
    <cellStyle name="Normal 13 4 4_BD" xfId="6328" xr:uid="{00000000-0005-0000-0000-0000B7180000}"/>
    <cellStyle name="Normal 13 4 5" xfId="6329" xr:uid="{00000000-0005-0000-0000-0000B8180000}"/>
    <cellStyle name="Normal 13 4 5 2" xfId="6330" xr:uid="{00000000-0005-0000-0000-0000B9180000}"/>
    <cellStyle name="Normal 13 4 5 2 2" xfId="6331" xr:uid="{00000000-0005-0000-0000-0000BA180000}"/>
    <cellStyle name="Normal 13 4 5 2 3" xfId="6332" xr:uid="{00000000-0005-0000-0000-0000BB180000}"/>
    <cellStyle name="Normal 13 4 5 2_BD" xfId="6333" xr:uid="{00000000-0005-0000-0000-0000BC180000}"/>
    <cellStyle name="Normal 13 4 5 3" xfId="6334" xr:uid="{00000000-0005-0000-0000-0000BD180000}"/>
    <cellStyle name="Normal 13 4 5 3 2" xfId="6335" xr:uid="{00000000-0005-0000-0000-0000BE180000}"/>
    <cellStyle name="Normal 13 4 5 3 3" xfId="6336" xr:uid="{00000000-0005-0000-0000-0000BF180000}"/>
    <cellStyle name="Normal 13 4 5 3_BD" xfId="6337" xr:uid="{00000000-0005-0000-0000-0000C0180000}"/>
    <cellStyle name="Normal 13 4 5 4" xfId="6338" xr:uid="{00000000-0005-0000-0000-0000C1180000}"/>
    <cellStyle name="Normal 13 4 5 5" xfId="6339" xr:uid="{00000000-0005-0000-0000-0000C2180000}"/>
    <cellStyle name="Normal 13 4 5_BD" xfId="6340" xr:uid="{00000000-0005-0000-0000-0000C3180000}"/>
    <cellStyle name="Normal 13 4 6" xfId="6341" xr:uid="{00000000-0005-0000-0000-0000C4180000}"/>
    <cellStyle name="Normal 13 4 6 2" xfId="6342" xr:uid="{00000000-0005-0000-0000-0000C5180000}"/>
    <cellStyle name="Normal 13 4 6 2 2" xfId="6343" xr:uid="{00000000-0005-0000-0000-0000C6180000}"/>
    <cellStyle name="Normal 13 4 6 2 3" xfId="6344" xr:uid="{00000000-0005-0000-0000-0000C7180000}"/>
    <cellStyle name="Normal 13 4 6 2_BD" xfId="6345" xr:uid="{00000000-0005-0000-0000-0000C8180000}"/>
    <cellStyle name="Normal 13 4 6 3" xfId="6346" xr:uid="{00000000-0005-0000-0000-0000C9180000}"/>
    <cellStyle name="Normal 13 4 6 3 2" xfId="6347" xr:uid="{00000000-0005-0000-0000-0000CA180000}"/>
    <cellStyle name="Normal 13 4 6 3 3" xfId="6348" xr:uid="{00000000-0005-0000-0000-0000CB180000}"/>
    <cellStyle name="Normal 13 4 6 3_BD" xfId="6349" xr:uid="{00000000-0005-0000-0000-0000CC180000}"/>
    <cellStyle name="Normal 13 4 6 4" xfId="6350" xr:uid="{00000000-0005-0000-0000-0000CD180000}"/>
    <cellStyle name="Normal 13 4 6 5" xfId="6351" xr:uid="{00000000-0005-0000-0000-0000CE180000}"/>
    <cellStyle name="Normal 13 4 6_BD" xfId="6352" xr:uid="{00000000-0005-0000-0000-0000CF180000}"/>
    <cellStyle name="Normal 13 4 7" xfId="6353" xr:uid="{00000000-0005-0000-0000-0000D0180000}"/>
    <cellStyle name="Normal 13 4 7 2" xfId="6354" xr:uid="{00000000-0005-0000-0000-0000D1180000}"/>
    <cellStyle name="Normal 13 4 7 3" xfId="6355" xr:uid="{00000000-0005-0000-0000-0000D2180000}"/>
    <cellStyle name="Normal 13 4 7_BD" xfId="6356" xr:uid="{00000000-0005-0000-0000-0000D3180000}"/>
    <cellStyle name="Normal 13 4 8" xfId="6357" xr:uid="{00000000-0005-0000-0000-0000D4180000}"/>
    <cellStyle name="Normal 13 4 8 2" xfId="6358" xr:uid="{00000000-0005-0000-0000-0000D5180000}"/>
    <cellStyle name="Normal 13 4 8 3" xfId="6359" xr:uid="{00000000-0005-0000-0000-0000D6180000}"/>
    <cellStyle name="Normal 13 4 8_BD" xfId="6360" xr:uid="{00000000-0005-0000-0000-0000D7180000}"/>
    <cellStyle name="Normal 13 4 9" xfId="6361" xr:uid="{00000000-0005-0000-0000-0000D8180000}"/>
    <cellStyle name="Normal 13 4_BD" xfId="6362" xr:uid="{00000000-0005-0000-0000-0000D9180000}"/>
    <cellStyle name="Normal 13 5" xfId="6363" xr:uid="{00000000-0005-0000-0000-0000DA180000}"/>
    <cellStyle name="Normal 13 5 2" xfId="6364" xr:uid="{00000000-0005-0000-0000-0000DB180000}"/>
    <cellStyle name="Normal 13 5 2 2" xfId="6365" xr:uid="{00000000-0005-0000-0000-0000DC180000}"/>
    <cellStyle name="Normal 13 5 2 3" xfId="6366" xr:uid="{00000000-0005-0000-0000-0000DD180000}"/>
    <cellStyle name="Normal 13 5 2_BD" xfId="6367" xr:uid="{00000000-0005-0000-0000-0000DE180000}"/>
    <cellStyle name="Normal 13 5 3" xfId="6368" xr:uid="{00000000-0005-0000-0000-0000DF180000}"/>
    <cellStyle name="Normal 13 5 3 2" xfId="6369" xr:uid="{00000000-0005-0000-0000-0000E0180000}"/>
    <cellStyle name="Normal 13 5 3 3" xfId="6370" xr:uid="{00000000-0005-0000-0000-0000E1180000}"/>
    <cellStyle name="Normal 13 5 3_BD" xfId="6371" xr:uid="{00000000-0005-0000-0000-0000E2180000}"/>
    <cellStyle name="Normal 13 5 4" xfId="6372" xr:uid="{00000000-0005-0000-0000-0000E3180000}"/>
    <cellStyle name="Normal 13 5 5" xfId="6373" xr:uid="{00000000-0005-0000-0000-0000E4180000}"/>
    <cellStyle name="Normal 13 5_BD" xfId="6374" xr:uid="{00000000-0005-0000-0000-0000E5180000}"/>
    <cellStyle name="Normal 13 6" xfId="6375" xr:uid="{00000000-0005-0000-0000-0000E6180000}"/>
    <cellStyle name="Normal 13 6 2" xfId="6376" xr:uid="{00000000-0005-0000-0000-0000E7180000}"/>
    <cellStyle name="Normal 13 6 2 2" xfId="6377" xr:uid="{00000000-0005-0000-0000-0000E8180000}"/>
    <cellStyle name="Normal 13 6 2 3" xfId="6378" xr:uid="{00000000-0005-0000-0000-0000E9180000}"/>
    <cellStyle name="Normal 13 6 2_BD" xfId="6379" xr:uid="{00000000-0005-0000-0000-0000EA180000}"/>
    <cellStyle name="Normal 13 6 3" xfId="6380" xr:uid="{00000000-0005-0000-0000-0000EB180000}"/>
    <cellStyle name="Normal 13 6 3 2" xfId="6381" xr:uid="{00000000-0005-0000-0000-0000EC180000}"/>
    <cellStyle name="Normal 13 6 3 3" xfId="6382" xr:uid="{00000000-0005-0000-0000-0000ED180000}"/>
    <cellStyle name="Normal 13 6 3_BD" xfId="6383" xr:uid="{00000000-0005-0000-0000-0000EE180000}"/>
    <cellStyle name="Normal 13 6 4" xfId="6384" xr:uid="{00000000-0005-0000-0000-0000EF180000}"/>
    <cellStyle name="Normal 13 6 5" xfId="6385" xr:uid="{00000000-0005-0000-0000-0000F0180000}"/>
    <cellStyle name="Normal 13 6_BD" xfId="6386" xr:uid="{00000000-0005-0000-0000-0000F1180000}"/>
    <cellStyle name="Normal 13 7" xfId="6387" xr:uid="{00000000-0005-0000-0000-0000F2180000}"/>
    <cellStyle name="Normal 13 7 2" xfId="6388" xr:uid="{00000000-0005-0000-0000-0000F3180000}"/>
    <cellStyle name="Normal 13 7 2 2" xfId="6389" xr:uid="{00000000-0005-0000-0000-0000F4180000}"/>
    <cellStyle name="Normal 13 7 2 3" xfId="6390" xr:uid="{00000000-0005-0000-0000-0000F5180000}"/>
    <cellStyle name="Normal 13 7 2_BD" xfId="6391" xr:uid="{00000000-0005-0000-0000-0000F6180000}"/>
    <cellStyle name="Normal 13 7 3" xfId="6392" xr:uid="{00000000-0005-0000-0000-0000F7180000}"/>
    <cellStyle name="Normal 13 7 3 2" xfId="6393" xr:uid="{00000000-0005-0000-0000-0000F8180000}"/>
    <cellStyle name="Normal 13 7 3 3" xfId="6394" xr:uid="{00000000-0005-0000-0000-0000F9180000}"/>
    <cellStyle name="Normal 13 7 3_BD" xfId="6395" xr:uid="{00000000-0005-0000-0000-0000FA180000}"/>
    <cellStyle name="Normal 13 7 4" xfId="6396" xr:uid="{00000000-0005-0000-0000-0000FB180000}"/>
    <cellStyle name="Normal 13 7 5" xfId="6397" xr:uid="{00000000-0005-0000-0000-0000FC180000}"/>
    <cellStyle name="Normal 13 7_BD" xfId="6398" xr:uid="{00000000-0005-0000-0000-0000FD180000}"/>
    <cellStyle name="Normal 13 8" xfId="6399" xr:uid="{00000000-0005-0000-0000-0000FE180000}"/>
    <cellStyle name="Normal 13 8 2" xfId="6400" xr:uid="{00000000-0005-0000-0000-0000FF180000}"/>
    <cellStyle name="Normal 13 8 2 2" xfId="6401" xr:uid="{00000000-0005-0000-0000-000000190000}"/>
    <cellStyle name="Normal 13 8 2 3" xfId="6402" xr:uid="{00000000-0005-0000-0000-000001190000}"/>
    <cellStyle name="Normal 13 8 2_BD" xfId="6403" xr:uid="{00000000-0005-0000-0000-000002190000}"/>
    <cellStyle name="Normal 13 8 3" xfId="6404" xr:uid="{00000000-0005-0000-0000-000003190000}"/>
    <cellStyle name="Normal 13 8 3 2" xfId="6405" xr:uid="{00000000-0005-0000-0000-000004190000}"/>
    <cellStyle name="Normal 13 8 3 3" xfId="6406" xr:uid="{00000000-0005-0000-0000-000005190000}"/>
    <cellStyle name="Normal 13 8 3_BD" xfId="6407" xr:uid="{00000000-0005-0000-0000-000006190000}"/>
    <cellStyle name="Normal 13 8 4" xfId="6408" xr:uid="{00000000-0005-0000-0000-000007190000}"/>
    <cellStyle name="Normal 13 8 5" xfId="6409" xr:uid="{00000000-0005-0000-0000-000008190000}"/>
    <cellStyle name="Normal 13 8_BD" xfId="6410" xr:uid="{00000000-0005-0000-0000-000009190000}"/>
    <cellStyle name="Normal 13 9" xfId="6411" xr:uid="{00000000-0005-0000-0000-00000A190000}"/>
    <cellStyle name="Normal 13 9 2" xfId="6412" xr:uid="{00000000-0005-0000-0000-00000B190000}"/>
    <cellStyle name="Normal 13 9 2 2" xfId="6413" xr:uid="{00000000-0005-0000-0000-00000C190000}"/>
    <cellStyle name="Normal 13 9 2 3" xfId="6414" xr:uid="{00000000-0005-0000-0000-00000D190000}"/>
    <cellStyle name="Normal 13 9 2_BD" xfId="6415" xr:uid="{00000000-0005-0000-0000-00000E190000}"/>
    <cellStyle name="Normal 13 9 3" xfId="6416" xr:uid="{00000000-0005-0000-0000-00000F190000}"/>
    <cellStyle name="Normal 13 9 3 2" xfId="6417" xr:uid="{00000000-0005-0000-0000-000010190000}"/>
    <cellStyle name="Normal 13 9 3 3" xfId="6418" xr:uid="{00000000-0005-0000-0000-000011190000}"/>
    <cellStyle name="Normal 13 9 3_BD" xfId="6419" xr:uid="{00000000-0005-0000-0000-000012190000}"/>
    <cellStyle name="Normal 13 9 4" xfId="6420" xr:uid="{00000000-0005-0000-0000-000013190000}"/>
    <cellStyle name="Normal 13 9 5" xfId="6421" xr:uid="{00000000-0005-0000-0000-000014190000}"/>
    <cellStyle name="Normal 13 9_BD" xfId="6422" xr:uid="{00000000-0005-0000-0000-000015190000}"/>
    <cellStyle name="Normal 13_BD" xfId="6423" xr:uid="{00000000-0005-0000-0000-000016190000}"/>
    <cellStyle name="Normal 14" xfId="6424" xr:uid="{00000000-0005-0000-0000-000017190000}"/>
    <cellStyle name="Normal 14 2" xfId="6425" xr:uid="{00000000-0005-0000-0000-000018190000}"/>
    <cellStyle name="Normal 14 2 2" xfId="6426" xr:uid="{00000000-0005-0000-0000-000019190000}"/>
    <cellStyle name="Normal 14 2 3" xfId="6427" xr:uid="{00000000-0005-0000-0000-00001A190000}"/>
    <cellStyle name="Normal 14 2 4" xfId="6428" xr:uid="{00000000-0005-0000-0000-00001B190000}"/>
    <cellStyle name="Normal 14 2_BD" xfId="6429" xr:uid="{00000000-0005-0000-0000-00001C190000}"/>
    <cellStyle name="Normal 14 3" xfId="6430" xr:uid="{00000000-0005-0000-0000-00001D190000}"/>
    <cellStyle name="Normal 14 3 2" xfId="6431" xr:uid="{00000000-0005-0000-0000-00001E190000}"/>
    <cellStyle name="Normal 14 3 3" xfId="6432" xr:uid="{00000000-0005-0000-0000-00001F190000}"/>
    <cellStyle name="Normal 14 3 4" xfId="6433" xr:uid="{00000000-0005-0000-0000-000020190000}"/>
    <cellStyle name="Normal 14 3_BD" xfId="6434" xr:uid="{00000000-0005-0000-0000-000021190000}"/>
    <cellStyle name="Normal 14 4" xfId="6435" xr:uid="{00000000-0005-0000-0000-000022190000}"/>
    <cellStyle name="Normal 14 4 2" xfId="6436" xr:uid="{00000000-0005-0000-0000-000023190000}"/>
    <cellStyle name="Normal 14 4_Estoque Atual" xfId="6437" xr:uid="{00000000-0005-0000-0000-000024190000}"/>
    <cellStyle name="Normal 14 5" xfId="6438" xr:uid="{00000000-0005-0000-0000-000025190000}"/>
    <cellStyle name="Normal 14 6" xfId="6439" xr:uid="{00000000-0005-0000-0000-000026190000}"/>
    <cellStyle name="Normal 14_BD" xfId="6440" xr:uid="{00000000-0005-0000-0000-000027190000}"/>
    <cellStyle name="Normal 15" xfId="6441" xr:uid="{00000000-0005-0000-0000-000028190000}"/>
    <cellStyle name="Normal 15 2" xfId="6442" xr:uid="{00000000-0005-0000-0000-000029190000}"/>
    <cellStyle name="Normal 15 2 2" xfId="6443" xr:uid="{00000000-0005-0000-0000-00002A190000}"/>
    <cellStyle name="Normal 15 2 3" xfId="6444" xr:uid="{00000000-0005-0000-0000-00002B190000}"/>
    <cellStyle name="Normal 15 2_BD" xfId="6445" xr:uid="{00000000-0005-0000-0000-00002C190000}"/>
    <cellStyle name="Normal 15 3" xfId="6446" xr:uid="{00000000-0005-0000-0000-00002D190000}"/>
    <cellStyle name="Normal 15 3 2" xfId="6447" xr:uid="{00000000-0005-0000-0000-00002E190000}"/>
    <cellStyle name="Normal 15 3 3" xfId="6448" xr:uid="{00000000-0005-0000-0000-00002F190000}"/>
    <cellStyle name="Normal 15 3_BD" xfId="6449" xr:uid="{00000000-0005-0000-0000-000030190000}"/>
    <cellStyle name="Normal 15 4" xfId="6450" xr:uid="{00000000-0005-0000-0000-000031190000}"/>
    <cellStyle name="Normal 15 5" xfId="6451" xr:uid="{00000000-0005-0000-0000-000032190000}"/>
    <cellStyle name="Normal 15 6" xfId="6452" xr:uid="{00000000-0005-0000-0000-000033190000}"/>
    <cellStyle name="Normal 15 7" xfId="6453" xr:uid="{00000000-0005-0000-0000-000034190000}"/>
    <cellStyle name="Normal 15_BD" xfId="6454" xr:uid="{00000000-0005-0000-0000-000035190000}"/>
    <cellStyle name="Normal 16" xfId="6455" xr:uid="{00000000-0005-0000-0000-000036190000}"/>
    <cellStyle name="Normal 16 10" xfId="6456" xr:uid="{00000000-0005-0000-0000-000037190000}"/>
    <cellStyle name="Normal 16 2" xfId="6457" xr:uid="{00000000-0005-0000-0000-000038190000}"/>
    <cellStyle name="Normal 16 2 2" xfId="6458" xr:uid="{00000000-0005-0000-0000-000039190000}"/>
    <cellStyle name="Normal 16 2 2 2" xfId="6459" xr:uid="{00000000-0005-0000-0000-00003A190000}"/>
    <cellStyle name="Normal 16 2 2 3" xfId="6460" xr:uid="{00000000-0005-0000-0000-00003B190000}"/>
    <cellStyle name="Normal 16 2 2_BD" xfId="6461" xr:uid="{00000000-0005-0000-0000-00003C190000}"/>
    <cellStyle name="Normal 16 2 3" xfId="6462" xr:uid="{00000000-0005-0000-0000-00003D190000}"/>
    <cellStyle name="Normal 16 2 3 2" xfId="6463" xr:uid="{00000000-0005-0000-0000-00003E190000}"/>
    <cellStyle name="Normal 16 2 3 3" xfId="6464" xr:uid="{00000000-0005-0000-0000-00003F190000}"/>
    <cellStyle name="Normal 16 2 3_BD" xfId="6465" xr:uid="{00000000-0005-0000-0000-000040190000}"/>
    <cellStyle name="Normal 16 2 4" xfId="6466" xr:uid="{00000000-0005-0000-0000-000041190000}"/>
    <cellStyle name="Normal 16 2 5" xfId="6467" xr:uid="{00000000-0005-0000-0000-000042190000}"/>
    <cellStyle name="Normal 16 2_BD" xfId="6468" xr:uid="{00000000-0005-0000-0000-000043190000}"/>
    <cellStyle name="Normal 16 3" xfId="6469" xr:uid="{00000000-0005-0000-0000-000044190000}"/>
    <cellStyle name="Normal 16 3 2" xfId="6470" xr:uid="{00000000-0005-0000-0000-000045190000}"/>
    <cellStyle name="Normal 16 3 2 2" xfId="6471" xr:uid="{00000000-0005-0000-0000-000046190000}"/>
    <cellStyle name="Normal 16 3 2 3" xfId="6472" xr:uid="{00000000-0005-0000-0000-000047190000}"/>
    <cellStyle name="Normal 16 3 2_BD" xfId="6473" xr:uid="{00000000-0005-0000-0000-000048190000}"/>
    <cellStyle name="Normal 16 3 3" xfId="6474" xr:uid="{00000000-0005-0000-0000-000049190000}"/>
    <cellStyle name="Normal 16 3 3 2" xfId="6475" xr:uid="{00000000-0005-0000-0000-00004A190000}"/>
    <cellStyle name="Normal 16 3 3 3" xfId="6476" xr:uid="{00000000-0005-0000-0000-00004B190000}"/>
    <cellStyle name="Normal 16 3 3_BD" xfId="6477" xr:uid="{00000000-0005-0000-0000-00004C190000}"/>
    <cellStyle name="Normal 16 3 4" xfId="6478" xr:uid="{00000000-0005-0000-0000-00004D190000}"/>
    <cellStyle name="Normal 16 3 5" xfId="6479" xr:uid="{00000000-0005-0000-0000-00004E190000}"/>
    <cellStyle name="Normal 16 3_BD" xfId="6480" xr:uid="{00000000-0005-0000-0000-00004F190000}"/>
    <cellStyle name="Normal 16 4" xfId="6481" xr:uid="{00000000-0005-0000-0000-000050190000}"/>
    <cellStyle name="Normal 16 4 2" xfId="6482" xr:uid="{00000000-0005-0000-0000-000051190000}"/>
    <cellStyle name="Normal 16 4 2 2" xfId="6483" xr:uid="{00000000-0005-0000-0000-000052190000}"/>
    <cellStyle name="Normal 16 4 2 3" xfId="6484" xr:uid="{00000000-0005-0000-0000-000053190000}"/>
    <cellStyle name="Normal 16 4 2_BD" xfId="6485" xr:uid="{00000000-0005-0000-0000-000054190000}"/>
    <cellStyle name="Normal 16 4 3" xfId="6486" xr:uid="{00000000-0005-0000-0000-000055190000}"/>
    <cellStyle name="Normal 16 4 3 2" xfId="6487" xr:uid="{00000000-0005-0000-0000-000056190000}"/>
    <cellStyle name="Normal 16 4 3 3" xfId="6488" xr:uid="{00000000-0005-0000-0000-000057190000}"/>
    <cellStyle name="Normal 16 4 3_BD" xfId="6489" xr:uid="{00000000-0005-0000-0000-000058190000}"/>
    <cellStyle name="Normal 16 4 4" xfId="6490" xr:uid="{00000000-0005-0000-0000-000059190000}"/>
    <cellStyle name="Normal 16 4 5" xfId="6491" xr:uid="{00000000-0005-0000-0000-00005A190000}"/>
    <cellStyle name="Normal 16 4_BD" xfId="6492" xr:uid="{00000000-0005-0000-0000-00005B190000}"/>
    <cellStyle name="Normal 16 5" xfId="6493" xr:uid="{00000000-0005-0000-0000-00005C190000}"/>
    <cellStyle name="Normal 16 5 2" xfId="6494" xr:uid="{00000000-0005-0000-0000-00005D190000}"/>
    <cellStyle name="Normal 16 5 2 2" xfId="6495" xr:uid="{00000000-0005-0000-0000-00005E190000}"/>
    <cellStyle name="Normal 16 5 2 3" xfId="6496" xr:uid="{00000000-0005-0000-0000-00005F190000}"/>
    <cellStyle name="Normal 16 5 2_BD" xfId="6497" xr:uid="{00000000-0005-0000-0000-000060190000}"/>
    <cellStyle name="Normal 16 5 3" xfId="6498" xr:uid="{00000000-0005-0000-0000-000061190000}"/>
    <cellStyle name="Normal 16 5 3 2" xfId="6499" xr:uid="{00000000-0005-0000-0000-000062190000}"/>
    <cellStyle name="Normal 16 5 3 3" xfId="6500" xr:uid="{00000000-0005-0000-0000-000063190000}"/>
    <cellStyle name="Normal 16 5 3_BD" xfId="6501" xr:uid="{00000000-0005-0000-0000-000064190000}"/>
    <cellStyle name="Normal 16 5 4" xfId="6502" xr:uid="{00000000-0005-0000-0000-000065190000}"/>
    <cellStyle name="Normal 16 5 5" xfId="6503" xr:uid="{00000000-0005-0000-0000-000066190000}"/>
    <cellStyle name="Normal 16 5_BD" xfId="6504" xr:uid="{00000000-0005-0000-0000-000067190000}"/>
    <cellStyle name="Normal 16 6" xfId="6505" xr:uid="{00000000-0005-0000-0000-000068190000}"/>
    <cellStyle name="Normal 16 6 2" xfId="6506" xr:uid="{00000000-0005-0000-0000-000069190000}"/>
    <cellStyle name="Normal 16 6 2 2" xfId="6507" xr:uid="{00000000-0005-0000-0000-00006A190000}"/>
    <cellStyle name="Normal 16 6 2 3" xfId="6508" xr:uid="{00000000-0005-0000-0000-00006B190000}"/>
    <cellStyle name="Normal 16 6 2_BD" xfId="6509" xr:uid="{00000000-0005-0000-0000-00006C190000}"/>
    <cellStyle name="Normal 16 6 3" xfId="6510" xr:uid="{00000000-0005-0000-0000-00006D190000}"/>
    <cellStyle name="Normal 16 6 3 2" xfId="6511" xr:uid="{00000000-0005-0000-0000-00006E190000}"/>
    <cellStyle name="Normal 16 6 3 3" xfId="6512" xr:uid="{00000000-0005-0000-0000-00006F190000}"/>
    <cellStyle name="Normal 16 6 3_BD" xfId="6513" xr:uid="{00000000-0005-0000-0000-000070190000}"/>
    <cellStyle name="Normal 16 6 4" xfId="6514" xr:uid="{00000000-0005-0000-0000-000071190000}"/>
    <cellStyle name="Normal 16 6 5" xfId="6515" xr:uid="{00000000-0005-0000-0000-000072190000}"/>
    <cellStyle name="Normal 16 6_BD" xfId="6516" xr:uid="{00000000-0005-0000-0000-000073190000}"/>
    <cellStyle name="Normal 16 7" xfId="6517" xr:uid="{00000000-0005-0000-0000-000074190000}"/>
    <cellStyle name="Normal 16 7 2" xfId="6518" xr:uid="{00000000-0005-0000-0000-000075190000}"/>
    <cellStyle name="Normal 16 7 3" xfId="6519" xr:uid="{00000000-0005-0000-0000-000076190000}"/>
    <cellStyle name="Normal 16 7_BD" xfId="6520" xr:uid="{00000000-0005-0000-0000-000077190000}"/>
    <cellStyle name="Normal 16 8" xfId="6521" xr:uid="{00000000-0005-0000-0000-000078190000}"/>
    <cellStyle name="Normal 16 8 2" xfId="6522" xr:uid="{00000000-0005-0000-0000-000079190000}"/>
    <cellStyle name="Normal 16 8 3" xfId="6523" xr:uid="{00000000-0005-0000-0000-00007A190000}"/>
    <cellStyle name="Normal 16 8_BD" xfId="6524" xr:uid="{00000000-0005-0000-0000-00007B190000}"/>
    <cellStyle name="Normal 16 9" xfId="6525" xr:uid="{00000000-0005-0000-0000-00007C190000}"/>
    <cellStyle name="Normal 16_BD" xfId="6526" xr:uid="{00000000-0005-0000-0000-00007D190000}"/>
    <cellStyle name="Normal 17" xfId="6527" xr:uid="{00000000-0005-0000-0000-00007E190000}"/>
    <cellStyle name="Normal 17 2" xfId="6528" xr:uid="{00000000-0005-0000-0000-00007F190000}"/>
    <cellStyle name="Normal 17 2 2" xfId="6529" xr:uid="{00000000-0005-0000-0000-000080190000}"/>
    <cellStyle name="Normal 17 2_Estoque Atual" xfId="6530" xr:uid="{00000000-0005-0000-0000-000081190000}"/>
    <cellStyle name="Normal 17 3" xfId="6531" xr:uid="{00000000-0005-0000-0000-000082190000}"/>
    <cellStyle name="Normal 17 3 2" xfId="6532" xr:uid="{00000000-0005-0000-0000-000083190000}"/>
    <cellStyle name="Normal 17 3_Estoque Atual" xfId="6533" xr:uid="{00000000-0005-0000-0000-000084190000}"/>
    <cellStyle name="Normal 17 4" xfId="6534" xr:uid="{00000000-0005-0000-0000-000085190000}"/>
    <cellStyle name="Normal 17 5" xfId="6535" xr:uid="{00000000-0005-0000-0000-000086190000}"/>
    <cellStyle name="Normal 17_BD" xfId="6536" xr:uid="{00000000-0005-0000-0000-000087190000}"/>
    <cellStyle name="Normal 18" xfId="6537" xr:uid="{00000000-0005-0000-0000-000088190000}"/>
    <cellStyle name="Normal 18 2" xfId="6538" xr:uid="{00000000-0005-0000-0000-000089190000}"/>
    <cellStyle name="Normal 18 2 2" xfId="6539" xr:uid="{00000000-0005-0000-0000-00008A190000}"/>
    <cellStyle name="Normal 18 2_Estoque Atual" xfId="6540" xr:uid="{00000000-0005-0000-0000-00008B190000}"/>
    <cellStyle name="Normal 18 3" xfId="6541" xr:uid="{00000000-0005-0000-0000-00008C190000}"/>
    <cellStyle name="Normal 18 3 2" xfId="6542" xr:uid="{00000000-0005-0000-0000-00008D190000}"/>
    <cellStyle name="Normal 18 3_Estoque Atual" xfId="6543" xr:uid="{00000000-0005-0000-0000-00008E190000}"/>
    <cellStyle name="Normal 18 4" xfId="6544" xr:uid="{00000000-0005-0000-0000-00008F190000}"/>
    <cellStyle name="Normal 18 5" xfId="6545" xr:uid="{00000000-0005-0000-0000-000090190000}"/>
    <cellStyle name="Normal 18_BD" xfId="6546" xr:uid="{00000000-0005-0000-0000-000091190000}"/>
    <cellStyle name="Normal 19" xfId="6547" xr:uid="{00000000-0005-0000-0000-000092190000}"/>
    <cellStyle name="Normal 19 2" xfId="6548" xr:uid="{00000000-0005-0000-0000-000093190000}"/>
    <cellStyle name="Normal 19 2 2" xfId="6549" xr:uid="{00000000-0005-0000-0000-000094190000}"/>
    <cellStyle name="Normal 19 2 3" xfId="6550" xr:uid="{00000000-0005-0000-0000-000095190000}"/>
    <cellStyle name="Normal 19 2 4" xfId="6551" xr:uid="{00000000-0005-0000-0000-000096190000}"/>
    <cellStyle name="Normal 19 2_BD" xfId="6552" xr:uid="{00000000-0005-0000-0000-000097190000}"/>
    <cellStyle name="Normal 19 3" xfId="6553" xr:uid="{00000000-0005-0000-0000-000098190000}"/>
    <cellStyle name="Normal 19 3 2" xfId="6554" xr:uid="{00000000-0005-0000-0000-000099190000}"/>
    <cellStyle name="Normal 19 3 3" xfId="6555" xr:uid="{00000000-0005-0000-0000-00009A190000}"/>
    <cellStyle name="Normal 19 3 4" xfId="6556" xr:uid="{00000000-0005-0000-0000-00009B190000}"/>
    <cellStyle name="Normal 19 3_BD" xfId="6557" xr:uid="{00000000-0005-0000-0000-00009C190000}"/>
    <cellStyle name="Normal 19 4" xfId="6558" xr:uid="{00000000-0005-0000-0000-00009D190000}"/>
    <cellStyle name="Normal 19 4 2" xfId="6559" xr:uid="{00000000-0005-0000-0000-00009E190000}"/>
    <cellStyle name="Normal 19 4_Estoque Atual" xfId="6560" xr:uid="{00000000-0005-0000-0000-00009F190000}"/>
    <cellStyle name="Normal 19 5" xfId="6561" xr:uid="{00000000-0005-0000-0000-0000A0190000}"/>
    <cellStyle name="Normal 19 6" xfId="6562" xr:uid="{00000000-0005-0000-0000-0000A1190000}"/>
    <cellStyle name="Normal 19_BD" xfId="6563" xr:uid="{00000000-0005-0000-0000-0000A2190000}"/>
    <cellStyle name="Normal 2" xfId="6564" xr:uid="{00000000-0005-0000-0000-0000A3190000}"/>
    <cellStyle name="Normal 2 10" xfId="6565" xr:uid="{00000000-0005-0000-0000-0000A4190000}"/>
    <cellStyle name="Normal 2 10 2" xfId="6566" xr:uid="{00000000-0005-0000-0000-0000A5190000}"/>
    <cellStyle name="Normal 2 10_BD" xfId="6567" xr:uid="{00000000-0005-0000-0000-0000A6190000}"/>
    <cellStyle name="Normal 2 11" xfId="6568" xr:uid="{00000000-0005-0000-0000-0000A7190000}"/>
    <cellStyle name="Normal 2 11 2" xfId="6569" xr:uid="{00000000-0005-0000-0000-0000A8190000}"/>
    <cellStyle name="Normal 2 11_BD" xfId="6570" xr:uid="{00000000-0005-0000-0000-0000A9190000}"/>
    <cellStyle name="Normal 2 12" xfId="6571" xr:uid="{00000000-0005-0000-0000-0000AA190000}"/>
    <cellStyle name="Normal 2 13" xfId="6572" xr:uid="{00000000-0005-0000-0000-0000AB190000}"/>
    <cellStyle name="Normal 2 14" xfId="6573" xr:uid="{00000000-0005-0000-0000-0000AC190000}"/>
    <cellStyle name="Normal 2 15" xfId="6574" xr:uid="{00000000-0005-0000-0000-0000AD190000}"/>
    <cellStyle name="Normal 2 16" xfId="6575" xr:uid="{00000000-0005-0000-0000-0000AE190000}"/>
    <cellStyle name="Normal 2 17" xfId="6576" xr:uid="{00000000-0005-0000-0000-0000AF190000}"/>
    <cellStyle name="Normal 2 18" xfId="6577" xr:uid="{00000000-0005-0000-0000-0000B0190000}"/>
    <cellStyle name="Normal 2 19" xfId="6578" xr:uid="{00000000-0005-0000-0000-0000B1190000}"/>
    <cellStyle name="Normal 2 2" xfId="6579" xr:uid="{00000000-0005-0000-0000-0000B2190000}"/>
    <cellStyle name="Normal 2 2 10" xfId="6580" xr:uid="{00000000-0005-0000-0000-0000B3190000}"/>
    <cellStyle name="Normal 2 2 11" xfId="6581" xr:uid="{00000000-0005-0000-0000-0000B4190000}"/>
    <cellStyle name="Normal 2 2 12" xfId="6582" xr:uid="{00000000-0005-0000-0000-0000B5190000}"/>
    <cellStyle name="Normal 2 2 13" xfId="6583" xr:uid="{00000000-0005-0000-0000-0000B6190000}"/>
    <cellStyle name="Normal 2 2 14" xfId="6584" xr:uid="{00000000-0005-0000-0000-0000B7190000}"/>
    <cellStyle name="Normal 2 2 15" xfId="6585" xr:uid="{00000000-0005-0000-0000-0000B8190000}"/>
    <cellStyle name="Normal 2 2 16" xfId="6586" xr:uid="{00000000-0005-0000-0000-0000B9190000}"/>
    <cellStyle name="Normal 2 2 17" xfId="6587" xr:uid="{00000000-0005-0000-0000-0000BA190000}"/>
    <cellStyle name="Normal 2 2 18" xfId="6588" xr:uid="{00000000-0005-0000-0000-0000BB190000}"/>
    <cellStyle name="Normal 2 2 19" xfId="6589" xr:uid="{00000000-0005-0000-0000-0000BC190000}"/>
    <cellStyle name="Normal 2 2 2" xfId="6590" xr:uid="{00000000-0005-0000-0000-0000BD190000}"/>
    <cellStyle name="Normal 2 2 2 10" xfId="6591" xr:uid="{00000000-0005-0000-0000-0000BE190000}"/>
    <cellStyle name="Normal 2 2 2 11" xfId="6592" xr:uid="{00000000-0005-0000-0000-0000BF190000}"/>
    <cellStyle name="Normal 2 2 2 12" xfId="6593" xr:uid="{00000000-0005-0000-0000-0000C0190000}"/>
    <cellStyle name="Normal 2 2 2 13" xfId="6594" xr:uid="{00000000-0005-0000-0000-0000C1190000}"/>
    <cellStyle name="Normal 2 2 2 14" xfId="6595" xr:uid="{00000000-0005-0000-0000-0000C2190000}"/>
    <cellStyle name="Normal 2 2 2 15" xfId="6596" xr:uid="{00000000-0005-0000-0000-0000C3190000}"/>
    <cellStyle name="Normal 2 2 2 16" xfId="6597" xr:uid="{00000000-0005-0000-0000-0000C4190000}"/>
    <cellStyle name="Normal 2 2 2 17" xfId="6598" xr:uid="{00000000-0005-0000-0000-0000C5190000}"/>
    <cellStyle name="Normal 2 2 2 17 2" xfId="6599" xr:uid="{00000000-0005-0000-0000-0000C6190000}"/>
    <cellStyle name="Normal 2 2 2 2" xfId="6600" xr:uid="{00000000-0005-0000-0000-0000C7190000}"/>
    <cellStyle name="Normal 2 2 2 2 10" xfId="6601" xr:uid="{00000000-0005-0000-0000-0000C8190000}"/>
    <cellStyle name="Normal 2 2 2 2 11" xfId="6602" xr:uid="{00000000-0005-0000-0000-0000C9190000}"/>
    <cellStyle name="Normal 2 2 2 2 12" xfId="6603" xr:uid="{00000000-0005-0000-0000-0000CA190000}"/>
    <cellStyle name="Normal 2 2 2 2 13" xfId="6604" xr:uid="{00000000-0005-0000-0000-0000CB190000}"/>
    <cellStyle name="Normal 2 2 2 2 14" xfId="6605" xr:uid="{00000000-0005-0000-0000-0000CC190000}"/>
    <cellStyle name="Normal 2 2 2 2 15" xfId="6606" xr:uid="{00000000-0005-0000-0000-0000CD190000}"/>
    <cellStyle name="Normal 2 2 2 2 16" xfId="6607" xr:uid="{00000000-0005-0000-0000-0000CE190000}"/>
    <cellStyle name="Normal 2 2 2 2 17" xfId="6608" xr:uid="{00000000-0005-0000-0000-0000CF190000}"/>
    <cellStyle name="Normal 2 2 2 2 17 2" xfId="6609" xr:uid="{00000000-0005-0000-0000-0000D0190000}"/>
    <cellStyle name="Normal 2 2 2 2 2" xfId="6610" xr:uid="{00000000-0005-0000-0000-0000D1190000}"/>
    <cellStyle name="Normal 2 2 2 2 2 10" xfId="6611" xr:uid="{00000000-0005-0000-0000-0000D2190000}"/>
    <cellStyle name="Normal 2 2 2 2 2 11" xfId="6612" xr:uid="{00000000-0005-0000-0000-0000D3190000}"/>
    <cellStyle name="Normal 2 2 2 2 2 12" xfId="6613" xr:uid="{00000000-0005-0000-0000-0000D4190000}"/>
    <cellStyle name="Normal 2 2 2 2 2 12 2" xfId="6614" xr:uid="{00000000-0005-0000-0000-0000D5190000}"/>
    <cellStyle name="Normal 2 2 2 2 2 2" xfId="6615" xr:uid="{00000000-0005-0000-0000-0000D6190000}"/>
    <cellStyle name="Normal 2 2 2 2 2 2 10" xfId="6616" xr:uid="{00000000-0005-0000-0000-0000D7190000}"/>
    <cellStyle name="Normal 2 2 2 2 2 2 11" xfId="6617" xr:uid="{00000000-0005-0000-0000-0000D8190000}"/>
    <cellStyle name="Normal 2 2 2 2 2 2 12" xfId="6618" xr:uid="{00000000-0005-0000-0000-0000D9190000}"/>
    <cellStyle name="Normal 2 2 2 2 2 2 12 2" xfId="6619" xr:uid="{00000000-0005-0000-0000-0000DA190000}"/>
    <cellStyle name="Normal 2 2 2 2 2 2 2" xfId="6620" xr:uid="{00000000-0005-0000-0000-0000DB190000}"/>
    <cellStyle name="Normal 2 2 2 2 2 2 2 2" xfId="6621" xr:uid="{00000000-0005-0000-0000-0000DC190000}"/>
    <cellStyle name="Normal 2 2 2 2 2 2 2 2 2" xfId="6622" xr:uid="{00000000-0005-0000-0000-0000DD190000}"/>
    <cellStyle name="Normal 2 2 2 2 2 2 2 2 2 2" xfId="6623" xr:uid="{00000000-0005-0000-0000-0000DE190000}"/>
    <cellStyle name="Normal 2 2 2 2 2 2 2 2 2 2 2" xfId="6624" xr:uid="{00000000-0005-0000-0000-0000DF190000}"/>
    <cellStyle name="Normal 2 2 2 2 2 2 2 2 2 2 2 2" xfId="6625" xr:uid="{00000000-0005-0000-0000-0000E0190000}"/>
    <cellStyle name="Normal 2 2 2 2 2 2 2 2 2 2 2 2 2" xfId="6626" xr:uid="{00000000-0005-0000-0000-0000E1190000}"/>
    <cellStyle name="Normal 2 2 2 2 2 2 2 2 2 2 2 2 2 2" xfId="6627" xr:uid="{00000000-0005-0000-0000-0000E2190000}"/>
    <cellStyle name="Normal 2 2 2 2 2 2 2 2 2 2 2 2 3" xfId="6628" xr:uid="{00000000-0005-0000-0000-0000E3190000}"/>
    <cellStyle name="Normal 2 2 2 2 2 2 2 2 2 2 2 3" xfId="6629" xr:uid="{00000000-0005-0000-0000-0000E4190000}"/>
    <cellStyle name="Normal 2 2 2 2 2 2 2 2 2 2 2 3 2" xfId="6630" xr:uid="{00000000-0005-0000-0000-0000E5190000}"/>
    <cellStyle name="Normal 2 2 2 2 2 2 2 2 2 2 3" xfId="6631" xr:uid="{00000000-0005-0000-0000-0000E6190000}"/>
    <cellStyle name="Normal 2 2 2 2 2 2 2 2 2 2 4" xfId="6632" xr:uid="{00000000-0005-0000-0000-0000E7190000}"/>
    <cellStyle name="Normal 2 2 2 2 2 2 2 2 2 2 4 2" xfId="6633" xr:uid="{00000000-0005-0000-0000-0000E8190000}"/>
    <cellStyle name="Normal 2 2 2 2 2 2 2 2 2 3" xfId="6634" xr:uid="{00000000-0005-0000-0000-0000E9190000}"/>
    <cellStyle name="Normal 2 2 2 2 2 2 2 2 2 4" xfId="6635" xr:uid="{00000000-0005-0000-0000-0000EA190000}"/>
    <cellStyle name="Normal 2 2 2 2 2 2 2 2 2 4 2" xfId="6636" xr:uid="{00000000-0005-0000-0000-0000EB190000}"/>
    <cellStyle name="Normal 2 2 2 2 2 2 2 2 3" xfId="6637" xr:uid="{00000000-0005-0000-0000-0000EC190000}"/>
    <cellStyle name="Normal 2 2 2 2 2 2 2 2 4" xfId="6638" xr:uid="{00000000-0005-0000-0000-0000ED190000}"/>
    <cellStyle name="Normal 2 2 2 2 2 2 2 2 5" xfId="6639" xr:uid="{00000000-0005-0000-0000-0000EE190000}"/>
    <cellStyle name="Normal 2 2 2 2 2 2 2 2 6" xfId="6640" xr:uid="{00000000-0005-0000-0000-0000EF190000}"/>
    <cellStyle name="Normal 2 2 2 2 2 2 2 2 7" xfId="6641" xr:uid="{00000000-0005-0000-0000-0000F0190000}"/>
    <cellStyle name="Normal 2 2 2 2 2 2 2 2 8" xfId="6642" xr:uid="{00000000-0005-0000-0000-0000F1190000}"/>
    <cellStyle name="Normal 2 2 2 2 2 2 2 2 9" xfId="6643" xr:uid="{00000000-0005-0000-0000-0000F2190000}"/>
    <cellStyle name="Normal 2 2 2 2 2 2 2 2 9 2" xfId="6644" xr:uid="{00000000-0005-0000-0000-0000F3190000}"/>
    <cellStyle name="Normal 2 2 2 2 2 2 2 3" xfId="6645" xr:uid="{00000000-0005-0000-0000-0000F4190000}"/>
    <cellStyle name="Normal 2 2 2 2 2 2 2 4" xfId="6646" xr:uid="{00000000-0005-0000-0000-0000F5190000}"/>
    <cellStyle name="Normal 2 2 2 2 2 2 2 5" xfId="6647" xr:uid="{00000000-0005-0000-0000-0000F6190000}"/>
    <cellStyle name="Normal 2 2 2 2 2 2 2 6" xfId="6648" xr:uid="{00000000-0005-0000-0000-0000F7190000}"/>
    <cellStyle name="Normal 2 2 2 2 2 2 2 7" xfId="6649" xr:uid="{00000000-0005-0000-0000-0000F8190000}"/>
    <cellStyle name="Normal 2 2 2 2 2 2 2 8" xfId="6650" xr:uid="{00000000-0005-0000-0000-0000F9190000}"/>
    <cellStyle name="Normal 2 2 2 2 2 2 2 9" xfId="6651" xr:uid="{00000000-0005-0000-0000-0000FA190000}"/>
    <cellStyle name="Normal 2 2 2 2 2 2 2 9 2" xfId="6652" xr:uid="{00000000-0005-0000-0000-0000FB190000}"/>
    <cellStyle name="Normal 2 2 2 2 2 2 3" xfId="6653" xr:uid="{00000000-0005-0000-0000-0000FC190000}"/>
    <cellStyle name="Normal 2 2 2 2 2 2 4" xfId="6654" xr:uid="{00000000-0005-0000-0000-0000FD190000}"/>
    <cellStyle name="Normal 2 2 2 2 2 2 5" xfId="6655" xr:uid="{00000000-0005-0000-0000-0000FE190000}"/>
    <cellStyle name="Normal 2 2 2 2 2 2 6" xfId="6656" xr:uid="{00000000-0005-0000-0000-0000FF190000}"/>
    <cellStyle name="Normal 2 2 2 2 2 2 7" xfId="6657" xr:uid="{00000000-0005-0000-0000-0000001A0000}"/>
    <cellStyle name="Normal 2 2 2 2 2 2 8" xfId="6658" xr:uid="{00000000-0005-0000-0000-0000011A0000}"/>
    <cellStyle name="Normal 2 2 2 2 2 2 9" xfId="6659" xr:uid="{00000000-0005-0000-0000-0000021A0000}"/>
    <cellStyle name="Normal 2 2 2 2 2 3" xfId="6660" xr:uid="{00000000-0005-0000-0000-0000031A0000}"/>
    <cellStyle name="Normal 2 2 2 2 2 4" xfId="6661" xr:uid="{00000000-0005-0000-0000-0000041A0000}"/>
    <cellStyle name="Normal 2 2 2 2 2 5" xfId="6662" xr:uid="{00000000-0005-0000-0000-0000051A0000}"/>
    <cellStyle name="Normal 2 2 2 2 2 6" xfId="6663" xr:uid="{00000000-0005-0000-0000-0000061A0000}"/>
    <cellStyle name="Normal 2 2 2 2 2 7" xfId="6664" xr:uid="{00000000-0005-0000-0000-0000071A0000}"/>
    <cellStyle name="Normal 2 2 2 2 2 8" xfId="6665" xr:uid="{00000000-0005-0000-0000-0000081A0000}"/>
    <cellStyle name="Normal 2 2 2 2 2 9" xfId="6666" xr:uid="{00000000-0005-0000-0000-0000091A0000}"/>
    <cellStyle name="Normal 2 2 2 2 3" xfId="6667" xr:uid="{00000000-0005-0000-0000-00000A1A0000}"/>
    <cellStyle name="Normal 2 2 2 2 4" xfId="6668" xr:uid="{00000000-0005-0000-0000-00000B1A0000}"/>
    <cellStyle name="Normal 2 2 2 2 5" xfId="6669" xr:uid="{00000000-0005-0000-0000-00000C1A0000}"/>
    <cellStyle name="Normal 2 2 2 2 6" xfId="6670" xr:uid="{00000000-0005-0000-0000-00000D1A0000}"/>
    <cellStyle name="Normal 2 2 2 2 7" xfId="6671" xr:uid="{00000000-0005-0000-0000-00000E1A0000}"/>
    <cellStyle name="Normal 2 2 2 2 8" xfId="6672" xr:uid="{00000000-0005-0000-0000-00000F1A0000}"/>
    <cellStyle name="Normal 2 2 2 2 9" xfId="6673" xr:uid="{00000000-0005-0000-0000-0000101A0000}"/>
    <cellStyle name="Normal 2 2 2 2_Estoque Atual" xfId="6674" xr:uid="{00000000-0005-0000-0000-0000111A0000}"/>
    <cellStyle name="Normal 2 2 2 3" xfId="6675" xr:uid="{00000000-0005-0000-0000-0000121A0000}"/>
    <cellStyle name="Normal 2 2 2 4" xfId="6676" xr:uid="{00000000-0005-0000-0000-0000131A0000}"/>
    <cellStyle name="Normal 2 2 2 4 2" xfId="6677" xr:uid="{00000000-0005-0000-0000-0000141A0000}"/>
    <cellStyle name="Normal 2 2 2 5" xfId="6678" xr:uid="{00000000-0005-0000-0000-0000151A0000}"/>
    <cellStyle name="Normal 2 2 2 6" xfId="6679" xr:uid="{00000000-0005-0000-0000-0000161A0000}"/>
    <cellStyle name="Normal 2 2 2 7" xfId="6680" xr:uid="{00000000-0005-0000-0000-0000171A0000}"/>
    <cellStyle name="Normal 2 2 2 8" xfId="6681" xr:uid="{00000000-0005-0000-0000-0000181A0000}"/>
    <cellStyle name="Normal 2 2 2 9" xfId="6682" xr:uid="{00000000-0005-0000-0000-0000191A0000}"/>
    <cellStyle name="Normal 2 2 2_Embalagens_Consumo" xfId="6683" xr:uid="{00000000-0005-0000-0000-00001A1A0000}"/>
    <cellStyle name="Normal 2 2 20" xfId="6684" xr:uid="{00000000-0005-0000-0000-00001B1A0000}"/>
    <cellStyle name="Normal 2 2 21" xfId="6685" xr:uid="{00000000-0005-0000-0000-00001C1A0000}"/>
    <cellStyle name="Normal 2 2 22" xfId="6686" xr:uid="{00000000-0005-0000-0000-00001D1A0000}"/>
    <cellStyle name="Normal 2 2 23" xfId="6687" xr:uid="{00000000-0005-0000-0000-00001E1A0000}"/>
    <cellStyle name="Normal 2 2 24" xfId="6688" xr:uid="{00000000-0005-0000-0000-00001F1A0000}"/>
    <cellStyle name="Normal 2 2 24 2" xfId="6689" xr:uid="{00000000-0005-0000-0000-0000201A0000}"/>
    <cellStyle name="Normal 2 2 3" xfId="6690" xr:uid="{00000000-0005-0000-0000-0000211A0000}"/>
    <cellStyle name="Normal 2 2 3 2" xfId="6691" xr:uid="{00000000-0005-0000-0000-0000221A0000}"/>
    <cellStyle name="Normal 2 2 3 3" xfId="6692" xr:uid="{00000000-0005-0000-0000-0000231A0000}"/>
    <cellStyle name="Normal 2 2 3_Estoque Atual" xfId="6693" xr:uid="{00000000-0005-0000-0000-0000241A0000}"/>
    <cellStyle name="Normal 2 2 4" xfId="6694" xr:uid="{00000000-0005-0000-0000-0000251A0000}"/>
    <cellStyle name="Normal 2 2 4 2" xfId="6695" xr:uid="{00000000-0005-0000-0000-0000261A0000}"/>
    <cellStyle name="Normal 2 2 5" xfId="6696" xr:uid="{00000000-0005-0000-0000-0000271A0000}"/>
    <cellStyle name="Normal 2 2 6" xfId="6697" xr:uid="{00000000-0005-0000-0000-0000281A0000}"/>
    <cellStyle name="Normal 2 2 7" xfId="6698" xr:uid="{00000000-0005-0000-0000-0000291A0000}"/>
    <cellStyle name="Normal 2 2 8" xfId="6699" xr:uid="{00000000-0005-0000-0000-00002A1A0000}"/>
    <cellStyle name="Normal 2 2 9" xfId="6700" xr:uid="{00000000-0005-0000-0000-00002B1A0000}"/>
    <cellStyle name="Normal 2 2_BD" xfId="6701" xr:uid="{00000000-0005-0000-0000-00002C1A0000}"/>
    <cellStyle name="Normal 2 20" xfId="6702" xr:uid="{00000000-0005-0000-0000-00002D1A0000}"/>
    <cellStyle name="Normal 2 21" xfId="6703" xr:uid="{00000000-0005-0000-0000-00002E1A0000}"/>
    <cellStyle name="Normal 2 22" xfId="6704" xr:uid="{00000000-0005-0000-0000-00002F1A0000}"/>
    <cellStyle name="Normal 2 23" xfId="6705" xr:uid="{00000000-0005-0000-0000-0000301A0000}"/>
    <cellStyle name="Normal 2 24" xfId="6706" xr:uid="{00000000-0005-0000-0000-0000311A0000}"/>
    <cellStyle name="Normal 2 25" xfId="6707" xr:uid="{00000000-0005-0000-0000-0000321A0000}"/>
    <cellStyle name="Normal 2 26" xfId="6708" xr:uid="{00000000-0005-0000-0000-0000331A0000}"/>
    <cellStyle name="Normal 2 27" xfId="6709" xr:uid="{00000000-0005-0000-0000-0000341A0000}"/>
    <cellStyle name="Normal 2 27 2" xfId="6710" xr:uid="{00000000-0005-0000-0000-0000351A0000}"/>
    <cellStyle name="Normal 2 3" xfId="6711" xr:uid="{00000000-0005-0000-0000-0000361A0000}"/>
    <cellStyle name="Normal 2 3 2" xfId="6712" xr:uid="{00000000-0005-0000-0000-0000371A0000}"/>
    <cellStyle name="Normal 2 3 3" xfId="6713" xr:uid="{00000000-0005-0000-0000-0000381A0000}"/>
    <cellStyle name="Normal 2 3 4" xfId="6714" xr:uid="{00000000-0005-0000-0000-0000391A0000}"/>
    <cellStyle name="Normal 2 3_BD" xfId="6715" xr:uid="{00000000-0005-0000-0000-00003A1A0000}"/>
    <cellStyle name="Normal 2 4" xfId="6716" xr:uid="{00000000-0005-0000-0000-00003B1A0000}"/>
    <cellStyle name="Normal 2 4 2" xfId="6717" xr:uid="{00000000-0005-0000-0000-00003C1A0000}"/>
    <cellStyle name="Normal 2 4 3" xfId="6718" xr:uid="{00000000-0005-0000-0000-00003D1A0000}"/>
    <cellStyle name="Normal 2 4 4" xfId="6719" xr:uid="{00000000-0005-0000-0000-00003E1A0000}"/>
    <cellStyle name="Normal 2 4_BD" xfId="6720" xr:uid="{00000000-0005-0000-0000-00003F1A0000}"/>
    <cellStyle name="Normal 2 5" xfId="6721" xr:uid="{00000000-0005-0000-0000-0000401A0000}"/>
    <cellStyle name="Normal 2 5 2" xfId="6722" xr:uid="{00000000-0005-0000-0000-0000411A0000}"/>
    <cellStyle name="Normal 2 5 3" xfId="6723" xr:uid="{00000000-0005-0000-0000-0000421A0000}"/>
    <cellStyle name="Normal 2 5 4" xfId="6724" xr:uid="{00000000-0005-0000-0000-0000431A0000}"/>
    <cellStyle name="Normal 2 5_BD" xfId="6725" xr:uid="{00000000-0005-0000-0000-0000441A0000}"/>
    <cellStyle name="Normal 2 6" xfId="6726" xr:uid="{00000000-0005-0000-0000-0000451A0000}"/>
    <cellStyle name="Normal 2 6 2" xfId="6727" xr:uid="{00000000-0005-0000-0000-0000461A0000}"/>
    <cellStyle name="Normal 2 6 3" xfId="6728" xr:uid="{00000000-0005-0000-0000-0000471A0000}"/>
    <cellStyle name="Normal 2 6 4" xfId="6729" xr:uid="{00000000-0005-0000-0000-0000481A0000}"/>
    <cellStyle name="Normal 2 6_BD" xfId="6730" xr:uid="{00000000-0005-0000-0000-0000491A0000}"/>
    <cellStyle name="Normal 2 7" xfId="6731" xr:uid="{00000000-0005-0000-0000-00004A1A0000}"/>
    <cellStyle name="Normal 2 7 2" xfId="6732" xr:uid="{00000000-0005-0000-0000-00004B1A0000}"/>
    <cellStyle name="Normal 2 7 3" xfId="6733" xr:uid="{00000000-0005-0000-0000-00004C1A0000}"/>
    <cellStyle name="Normal 2 7 4" xfId="6734" xr:uid="{00000000-0005-0000-0000-00004D1A0000}"/>
    <cellStyle name="Normal 2 7_BD" xfId="6735" xr:uid="{00000000-0005-0000-0000-00004E1A0000}"/>
    <cellStyle name="Normal 2 8" xfId="6736" xr:uid="{00000000-0005-0000-0000-00004F1A0000}"/>
    <cellStyle name="Normal 2 8 2" xfId="6737" xr:uid="{00000000-0005-0000-0000-0000501A0000}"/>
    <cellStyle name="Normal 2 8 3" xfId="6738" xr:uid="{00000000-0005-0000-0000-0000511A0000}"/>
    <cellStyle name="Normal 2 8 4" xfId="6739" xr:uid="{00000000-0005-0000-0000-0000521A0000}"/>
    <cellStyle name="Normal 2 8_BD" xfId="6740" xr:uid="{00000000-0005-0000-0000-0000531A0000}"/>
    <cellStyle name="Normal 2 9" xfId="6741" xr:uid="{00000000-0005-0000-0000-0000541A0000}"/>
    <cellStyle name="Normal 2 9 2" xfId="6742" xr:uid="{00000000-0005-0000-0000-0000551A0000}"/>
    <cellStyle name="Normal 2 9_BD" xfId="6743" xr:uid="{00000000-0005-0000-0000-0000561A0000}"/>
    <cellStyle name="Normal 2_Estoque Atual" xfId="6744" xr:uid="{00000000-0005-0000-0000-0000571A0000}"/>
    <cellStyle name="Normal 20" xfId="6745" xr:uid="{00000000-0005-0000-0000-0000581A0000}"/>
    <cellStyle name="Normal 20 2" xfId="6746" xr:uid="{00000000-0005-0000-0000-0000591A0000}"/>
    <cellStyle name="Normal 20 2 2" xfId="6747" xr:uid="{00000000-0005-0000-0000-00005A1A0000}"/>
    <cellStyle name="Normal 20 3" xfId="6748" xr:uid="{00000000-0005-0000-0000-00005B1A0000}"/>
    <cellStyle name="Normal 20_BD" xfId="6749" xr:uid="{00000000-0005-0000-0000-00005C1A0000}"/>
    <cellStyle name="Normal 21" xfId="6750" xr:uid="{00000000-0005-0000-0000-00005D1A0000}"/>
    <cellStyle name="Normal 21 2" xfId="6751" xr:uid="{00000000-0005-0000-0000-00005E1A0000}"/>
    <cellStyle name="Normal 21 2 2" xfId="6752" xr:uid="{00000000-0005-0000-0000-00005F1A0000}"/>
    <cellStyle name="Normal 21 2 3" xfId="6753" xr:uid="{00000000-0005-0000-0000-0000601A0000}"/>
    <cellStyle name="Normal 21 2 4" xfId="6754" xr:uid="{00000000-0005-0000-0000-0000611A0000}"/>
    <cellStyle name="Normal 21 2_Estoque Atual" xfId="6755" xr:uid="{00000000-0005-0000-0000-0000621A0000}"/>
    <cellStyle name="Normal 21 3" xfId="6756" xr:uid="{00000000-0005-0000-0000-0000631A0000}"/>
    <cellStyle name="Normal 21 4" xfId="6757" xr:uid="{00000000-0005-0000-0000-0000641A0000}"/>
    <cellStyle name="Normal 21 5" xfId="6758" xr:uid="{00000000-0005-0000-0000-0000651A0000}"/>
    <cellStyle name="Normal 21 6" xfId="6759" xr:uid="{00000000-0005-0000-0000-0000661A0000}"/>
    <cellStyle name="Normal 21 7" xfId="6760" xr:uid="{00000000-0005-0000-0000-0000671A0000}"/>
    <cellStyle name="Normal 21 8" xfId="6761" xr:uid="{00000000-0005-0000-0000-0000681A0000}"/>
    <cellStyle name="Normal 21_BD" xfId="6762" xr:uid="{00000000-0005-0000-0000-0000691A0000}"/>
    <cellStyle name="Normal 22" xfId="6763" xr:uid="{00000000-0005-0000-0000-00006A1A0000}"/>
    <cellStyle name="Normal 22 2" xfId="6764" xr:uid="{00000000-0005-0000-0000-00006B1A0000}"/>
    <cellStyle name="Normal 22 3" xfId="6765" xr:uid="{00000000-0005-0000-0000-00006C1A0000}"/>
    <cellStyle name="Normal 22_BD" xfId="6766" xr:uid="{00000000-0005-0000-0000-00006D1A0000}"/>
    <cellStyle name="Normal 23" xfId="6767" xr:uid="{00000000-0005-0000-0000-00006E1A0000}"/>
    <cellStyle name="Normal 23 2" xfId="6768" xr:uid="{00000000-0005-0000-0000-00006F1A0000}"/>
    <cellStyle name="Normal 23_BD" xfId="6769" xr:uid="{00000000-0005-0000-0000-0000701A0000}"/>
    <cellStyle name="Normal 24" xfId="6770" xr:uid="{00000000-0005-0000-0000-0000711A0000}"/>
    <cellStyle name="Normal 24 2" xfId="6771" xr:uid="{00000000-0005-0000-0000-0000721A0000}"/>
    <cellStyle name="Normal 24 3" xfId="6772" xr:uid="{00000000-0005-0000-0000-0000731A0000}"/>
    <cellStyle name="Normal 24 4" xfId="6773" xr:uid="{00000000-0005-0000-0000-0000741A0000}"/>
    <cellStyle name="Normal 24 5" xfId="6774" xr:uid="{00000000-0005-0000-0000-0000751A0000}"/>
    <cellStyle name="Normal 24 6" xfId="6775" xr:uid="{00000000-0005-0000-0000-0000761A0000}"/>
    <cellStyle name="Normal 24 7" xfId="6776" xr:uid="{00000000-0005-0000-0000-0000771A0000}"/>
    <cellStyle name="Normal 24 8" xfId="6777" xr:uid="{00000000-0005-0000-0000-0000781A0000}"/>
    <cellStyle name="Normal 24_BD" xfId="6778" xr:uid="{00000000-0005-0000-0000-0000791A0000}"/>
    <cellStyle name="Normal 25" xfId="6779" xr:uid="{00000000-0005-0000-0000-00007A1A0000}"/>
    <cellStyle name="Normal 25 2" xfId="6780" xr:uid="{00000000-0005-0000-0000-00007B1A0000}"/>
    <cellStyle name="Normal 25_BD" xfId="6781" xr:uid="{00000000-0005-0000-0000-00007C1A0000}"/>
    <cellStyle name="Normal 26" xfId="6782" xr:uid="{00000000-0005-0000-0000-00007D1A0000}"/>
    <cellStyle name="Normal 26 2" xfId="6783" xr:uid="{00000000-0005-0000-0000-00007E1A0000}"/>
    <cellStyle name="Normal 26_BD" xfId="6784" xr:uid="{00000000-0005-0000-0000-00007F1A0000}"/>
    <cellStyle name="Normal 27" xfId="6785" xr:uid="{00000000-0005-0000-0000-0000801A0000}"/>
    <cellStyle name="Normal 27 2" xfId="6786" xr:uid="{00000000-0005-0000-0000-0000811A0000}"/>
    <cellStyle name="Normal 27_Estoque Atual" xfId="6787" xr:uid="{00000000-0005-0000-0000-0000821A0000}"/>
    <cellStyle name="Normal 28" xfId="6788" xr:uid="{00000000-0005-0000-0000-0000831A0000}"/>
    <cellStyle name="Normal 29" xfId="6789" xr:uid="{00000000-0005-0000-0000-0000841A0000}"/>
    <cellStyle name="Normal 3" xfId="6790" xr:uid="{00000000-0005-0000-0000-0000851A0000}"/>
    <cellStyle name="Normal 3 2" xfId="6791" xr:uid="{00000000-0005-0000-0000-0000861A0000}"/>
    <cellStyle name="Normal 3 2 2" xfId="6792" xr:uid="{00000000-0005-0000-0000-0000871A0000}"/>
    <cellStyle name="Normal 3 2_BD" xfId="6793" xr:uid="{00000000-0005-0000-0000-0000881A0000}"/>
    <cellStyle name="Normal 3 3" xfId="6794" xr:uid="{00000000-0005-0000-0000-0000891A0000}"/>
    <cellStyle name="Normal 3 3 2" xfId="6795" xr:uid="{00000000-0005-0000-0000-00008A1A0000}"/>
    <cellStyle name="Normal 3 3_BD" xfId="6796" xr:uid="{00000000-0005-0000-0000-00008B1A0000}"/>
    <cellStyle name="Normal 3 32" xfId="6797" xr:uid="{00000000-0005-0000-0000-00008C1A0000}"/>
    <cellStyle name="Normal 3 32 2" xfId="6798" xr:uid="{00000000-0005-0000-0000-00008D1A0000}"/>
    <cellStyle name="Normal 3 32 2 2" xfId="6799" xr:uid="{00000000-0005-0000-0000-00008E1A0000}"/>
    <cellStyle name="Normal 3 32 2 3" xfId="6800" xr:uid="{00000000-0005-0000-0000-00008F1A0000}"/>
    <cellStyle name="Normal 3 32 2 4" xfId="6801" xr:uid="{00000000-0005-0000-0000-0000901A0000}"/>
    <cellStyle name="Normal 3 32 3" xfId="6802" xr:uid="{00000000-0005-0000-0000-0000911A0000}"/>
    <cellStyle name="Normal 3 32 3 2" xfId="6803" xr:uid="{00000000-0005-0000-0000-0000921A0000}"/>
    <cellStyle name="Normal 3 32 3 3" xfId="6804" xr:uid="{00000000-0005-0000-0000-0000931A0000}"/>
    <cellStyle name="Normal 3 32 3 4" xfId="6805" xr:uid="{00000000-0005-0000-0000-0000941A0000}"/>
    <cellStyle name="Normal 3 32 4" xfId="6806" xr:uid="{00000000-0005-0000-0000-0000951A0000}"/>
    <cellStyle name="Normal 3 32 5" xfId="6807" xr:uid="{00000000-0005-0000-0000-0000961A0000}"/>
    <cellStyle name="Normal 3 32 6" xfId="6808" xr:uid="{00000000-0005-0000-0000-0000971A0000}"/>
    <cellStyle name="Normal 3 4" xfId="6809" xr:uid="{00000000-0005-0000-0000-0000981A0000}"/>
    <cellStyle name="Normal 3_BD" xfId="6810" xr:uid="{00000000-0005-0000-0000-0000991A0000}"/>
    <cellStyle name="Normal 30" xfId="6811" xr:uid="{00000000-0005-0000-0000-00009A1A0000}"/>
    <cellStyle name="Normal 31" xfId="6812" xr:uid="{00000000-0005-0000-0000-00009B1A0000}"/>
    <cellStyle name="Normal 32" xfId="6813" xr:uid="{00000000-0005-0000-0000-00009C1A0000}"/>
    <cellStyle name="Normal 33" xfId="6814" xr:uid="{00000000-0005-0000-0000-00009D1A0000}"/>
    <cellStyle name="Normal 34" xfId="6815" xr:uid="{00000000-0005-0000-0000-00009E1A0000}"/>
    <cellStyle name="Normal 35" xfId="6816" xr:uid="{00000000-0005-0000-0000-00009F1A0000}"/>
    <cellStyle name="Normal 36" xfId="6817" xr:uid="{00000000-0005-0000-0000-0000A01A0000}"/>
    <cellStyle name="Normal 37" xfId="6818" xr:uid="{00000000-0005-0000-0000-0000A11A0000}"/>
    <cellStyle name="Normal 38" xfId="6819" xr:uid="{00000000-0005-0000-0000-0000A21A0000}"/>
    <cellStyle name="Normal 39" xfId="6820" xr:uid="{00000000-0005-0000-0000-0000A31A0000}"/>
    <cellStyle name="Normal 4" xfId="6821" xr:uid="{00000000-0005-0000-0000-0000A41A0000}"/>
    <cellStyle name="Normal 4 10" xfId="6822" xr:uid="{00000000-0005-0000-0000-0000A51A0000}"/>
    <cellStyle name="Normal 4 11" xfId="6823" xr:uid="{00000000-0005-0000-0000-0000A61A0000}"/>
    <cellStyle name="Normal 4 12" xfId="6824" xr:uid="{00000000-0005-0000-0000-0000A71A0000}"/>
    <cellStyle name="Normal 4 13" xfId="6825" xr:uid="{00000000-0005-0000-0000-0000A81A0000}"/>
    <cellStyle name="Normal 4 14" xfId="6826" xr:uid="{00000000-0005-0000-0000-0000A91A0000}"/>
    <cellStyle name="Normal 4 15" xfId="6827" xr:uid="{00000000-0005-0000-0000-0000AA1A0000}"/>
    <cellStyle name="Normal 4 16" xfId="6828" xr:uid="{00000000-0005-0000-0000-0000AB1A0000}"/>
    <cellStyle name="Normal 4 2" xfId="6829" xr:uid="{00000000-0005-0000-0000-0000AC1A0000}"/>
    <cellStyle name="Normal 4 2 2" xfId="6830" xr:uid="{00000000-0005-0000-0000-0000AD1A0000}"/>
    <cellStyle name="Normal 4 2_BD" xfId="6831" xr:uid="{00000000-0005-0000-0000-0000AE1A0000}"/>
    <cellStyle name="Normal 4 3" xfId="6832" xr:uid="{00000000-0005-0000-0000-0000AF1A0000}"/>
    <cellStyle name="Normal 4 3 2" xfId="6833" xr:uid="{00000000-0005-0000-0000-0000B01A0000}"/>
    <cellStyle name="Normal 4 3_BD" xfId="6834" xr:uid="{00000000-0005-0000-0000-0000B11A0000}"/>
    <cellStyle name="Normal 4 4" xfId="6835" xr:uid="{00000000-0005-0000-0000-0000B21A0000}"/>
    <cellStyle name="Normal 4 4 2" xfId="6836" xr:uid="{00000000-0005-0000-0000-0000B31A0000}"/>
    <cellStyle name="Normal 4 4_BD" xfId="6837" xr:uid="{00000000-0005-0000-0000-0000B41A0000}"/>
    <cellStyle name="Normal 4 5" xfId="6838" xr:uid="{00000000-0005-0000-0000-0000B51A0000}"/>
    <cellStyle name="Normal 4 5 2" xfId="6839" xr:uid="{00000000-0005-0000-0000-0000B61A0000}"/>
    <cellStyle name="Normal 4 6" xfId="6840" xr:uid="{00000000-0005-0000-0000-0000B71A0000}"/>
    <cellStyle name="Normal 4 6 2" xfId="6841" xr:uid="{00000000-0005-0000-0000-0000B81A0000}"/>
    <cellStyle name="Normal 4 7" xfId="6842" xr:uid="{00000000-0005-0000-0000-0000B91A0000}"/>
    <cellStyle name="Normal 4 7 2" xfId="6843" xr:uid="{00000000-0005-0000-0000-0000BA1A0000}"/>
    <cellStyle name="Normal 4 8" xfId="6844" xr:uid="{00000000-0005-0000-0000-0000BB1A0000}"/>
    <cellStyle name="Normal 4 9" xfId="6845" xr:uid="{00000000-0005-0000-0000-0000BC1A0000}"/>
    <cellStyle name="Normal 4_BD" xfId="6846" xr:uid="{00000000-0005-0000-0000-0000BD1A0000}"/>
    <cellStyle name="Normal 40" xfId="6847" xr:uid="{00000000-0005-0000-0000-0000BE1A0000}"/>
    <cellStyle name="Normal 41" xfId="6848" xr:uid="{00000000-0005-0000-0000-0000BF1A0000}"/>
    <cellStyle name="Normal 42" xfId="6849" xr:uid="{00000000-0005-0000-0000-0000C01A0000}"/>
    <cellStyle name="Normal 43" xfId="6850" xr:uid="{00000000-0005-0000-0000-0000C11A0000}"/>
    <cellStyle name="Normal 44" xfId="6851" xr:uid="{00000000-0005-0000-0000-0000C21A0000}"/>
    <cellStyle name="Normal 45" xfId="6852" xr:uid="{00000000-0005-0000-0000-0000C31A0000}"/>
    <cellStyle name="Normal 46" xfId="6853" xr:uid="{00000000-0005-0000-0000-0000C41A0000}"/>
    <cellStyle name="Normal 47" xfId="6854" xr:uid="{00000000-0005-0000-0000-0000C51A0000}"/>
    <cellStyle name="Normal 48" xfId="6855" xr:uid="{00000000-0005-0000-0000-0000C61A0000}"/>
    <cellStyle name="Normal 49" xfId="6856" xr:uid="{00000000-0005-0000-0000-0000C71A0000}"/>
    <cellStyle name="Normal 5" xfId="6857" xr:uid="{00000000-0005-0000-0000-0000C81A0000}"/>
    <cellStyle name="Normal 5 2" xfId="6858" xr:uid="{00000000-0005-0000-0000-0000C91A0000}"/>
    <cellStyle name="Normal 5 2 2" xfId="6859" xr:uid="{00000000-0005-0000-0000-0000CA1A0000}"/>
    <cellStyle name="Normal 5 2 3" xfId="6860" xr:uid="{00000000-0005-0000-0000-0000CB1A0000}"/>
    <cellStyle name="Normal 5 2 4" xfId="6861" xr:uid="{00000000-0005-0000-0000-0000CC1A0000}"/>
    <cellStyle name="Normal 5 2 5" xfId="6862" xr:uid="{00000000-0005-0000-0000-0000CD1A0000}"/>
    <cellStyle name="Normal 5 2_BD" xfId="6863" xr:uid="{00000000-0005-0000-0000-0000CE1A0000}"/>
    <cellStyle name="Normal 5 3" xfId="6864" xr:uid="{00000000-0005-0000-0000-0000CF1A0000}"/>
    <cellStyle name="Normal 5 3 2" xfId="6865" xr:uid="{00000000-0005-0000-0000-0000D01A0000}"/>
    <cellStyle name="Normal 5 3 3" xfId="6866" xr:uid="{00000000-0005-0000-0000-0000D11A0000}"/>
    <cellStyle name="Normal 5 3 4" xfId="6867" xr:uid="{00000000-0005-0000-0000-0000D21A0000}"/>
    <cellStyle name="Normal 5 4" xfId="6868" xr:uid="{00000000-0005-0000-0000-0000D31A0000}"/>
    <cellStyle name="Normal 5 5" xfId="6869" xr:uid="{00000000-0005-0000-0000-0000D41A0000}"/>
    <cellStyle name="Normal 5 6" xfId="6870" xr:uid="{00000000-0005-0000-0000-0000D51A0000}"/>
    <cellStyle name="Normal 5_BD" xfId="6871" xr:uid="{00000000-0005-0000-0000-0000D61A0000}"/>
    <cellStyle name="Normal 50" xfId="6872" xr:uid="{00000000-0005-0000-0000-0000D71A0000}"/>
    <cellStyle name="Normal 51" xfId="6873" xr:uid="{00000000-0005-0000-0000-0000D81A0000}"/>
    <cellStyle name="Normal 52" xfId="6874" xr:uid="{00000000-0005-0000-0000-0000D91A0000}"/>
    <cellStyle name="Normal 53" xfId="6875" xr:uid="{00000000-0005-0000-0000-0000DA1A0000}"/>
    <cellStyle name="Normal 54" xfId="6876" xr:uid="{00000000-0005-0000-0000-0000DB1A0000}"/>
    <cellStyle name="Normal 55" xfId="6877" xr:uid="{00000000-0005-0000-0000-0000DC1A0000}"/>
    <cellStyle name="Normal 56" xfId="6878" xr:uid="{00000000-0005-0000-0000-0000DD1A0000}"/>
    <cellStyle name="Normal 57" xfId="6879" xr:uid="{00000000-0005-0000-0000-0000DE1A0000}"/>
    <cellStyle name="Normal 58" xfId="6880" xr:uid="{00000000-0005-0000-0000-0000DF1A0000}"/>
    <cellStyle name="Normal 59" xfId="6881" xr:uid="{00000000-0005-0000-0000-0000E01A0000}"/>
    <cellStyle name="Normal 6" xfId="6882" xr:uid="{00000000-0005-0000-0000-0000E11A0000}"/>
    <cellStyle name="Normal 6 2" xfId="6883" xr:uid="{00000000-0005-0000-0000-0000E21A0000}"/>
    <cellStyle name="Normal 6 2 2" xfId="6884" xr:uid="{00000000-0005-0000-0000-0000E31A0000}"/>
    <cellStyle name="Normal 6 2_BD" xfId="6885" xr:uid="{00000000-0005-0000-0000-0000E41A0000}"/>
    <cellStyle name="Normal 6 3" xfId="6886" xr:uid="{00000000-0005-0000-0000-0000E51A0000}"/>
    <cellStyle name="Normal 6 3 2" xfId="6887" xr:uid="{00000000-0005-0000-0000-0000E61A0000}"/>
    <cellStyle name="Normal 6 4" xfId="6888" xr:uid="{00000000-0005-0000-0000-0000E71A0000}"/>
    <cellStyle name="Normal 6_BD" xfId="6889" xr:uid="{00000000-0005-0000-0000-0000E81A0000}"/>
    <cellStyle name="Normal 60" xfId="6890" xr:uid="{00000000-0005-0000-0000-0000E91A0000}"/>
    <cellStyle name="Normal 61" xfId="6891" xr:uid="{00000000-0005-0000-0000-0000EA1A0000}"/>
    <cellStyle name="Normal 62" xfId="6892" xr:uid="{00000000-0005-0000-0000-0000EB1A0000}"/>
    <cellStyle name="Normal 63" xfId="6893" xr:uid="{00000000-0005-0000-0000-0000EC1A0000}"/>
    <cellStyle name="Normal 64" xfId="6894" xr:uid="{00000000-0005-0000-0000-0000ED1A0000}"/>
    <cellStyle name="Normal 65" xfId="6895" xr:uid="{00000000-0005-0000-0000-0000EE1A0000}"/>
    <cellStyle name="Normal 66" xfId="6896" xr:uid="{00000000-0005-0000-0000-0000EF1A0000}"/>
    <cellStyle name="Normal 67" xfId="6897" xr:uid="{00000000-0005-0000-0000-0000F01A0000}"/>
    <cellStyle name="Normal 68" xfId="6898" xr:uid="{00000000-0005-0000-0000-0000F11A0000}"/>
    <cellStyle name="Normal 69" xfId="6899" xr:uid="{00000000-0005-0000-0000-0000F21A0000}"/>
    <cellStyle name="Normal 7" xfId="6900" xr:uid="{00000000-0005-0000-0000-0000F31A0000}"/>
    <cellStyle name="Normal 7 2" xfId="6901" xr:uid="{00000000-0005-0000-0000-0000F41A0000}"/>
    <cellStyle name="Normal 7 2 2" xfId="6902" xr:uid="{00000000-0005-0000-0000-0000F51A0000}"/>
    <cellStyle name="Normal 7 2_BD" xfId="6903" xr:uid="{00000000-0005-0000-0000-0000F61A0000}"/>
    <cellStyle name="Normal 7 3" xfId="6904" xr:uid="{00000000-0005-0000-0000-0000F71A0000}"/>
    <cellStyle name="Normal 7 3 2" xfId="6905" xr:uid="{00000000-0005-0000-0000-0000F81A0000}"/>
    <cellStyle name="Normal 7 4" xfId="6906" xr:uid="{00000000-0005-0000-0000-0000F91A0000}"/>
    <cellStyle name="Normal 7_BD" xfId="6907" xr:uid="{00000000-0005-0000-0000-0000FA1A0000}"/>
    <cellStyle name="Normal 70" xfId="6908" xr:uid="{00000000-0005-0000-0000-0000FB1A0000}"/>
    <cellStyle name="Normal 71" xfId="6909" xr:uid="{00000000-0005-0000-0000-0000FC1A0000}"/>
    <cellStyle name="Normal 72" xfId="6910" xr:uid="{00000000-0005-0000-0000-0000FD1A0000}"/>
    <cellStyle name="Normal 73" xfId="6911" xr:uid="{00000000-0005-0000-0000-0000FE1A0000}"/>
    <cellStyle name="Normal 74" xfId="6912" xr:uid="{00000000-0005-0000-0000-0000FF1A0000}"/>
    <cellStyle name="Normal 75" xfId="6913" xr:uid="{00000000-0005-0000-0000-0000001B0000}"/>
    <cellStyle name="Normal 76" xfId="6914" xr:uid="{00000000-0005-0000-0000-0000011B0000}"/>
    <cellStyle name="Normal 77" xfId="6915" xr:uid="{00000000-0005-0000-0000-0000021B0000}"/>
    <cellStyle name="Normal 78" xfId="6916" xr:uid="{00000000-0005-0000-0000-0000031B0000}"/>
    <cellStyle name="Normal 79" xfId="6917" xr:uid="{00000000-0005-0000-0000-0000041B0000}"/>
    <cellStyle name="Normal 8" xfId="6918" xr:uid="{00000000-0005-0000-0000-0000051B0000}"/>
    <cellStyle name="Normal 8 10" xfId="6919" xr:uid="{00000000-0005-0000-0000-0000061B0000}"/>
    <cellStyle name="Normal 8 2" xfId="6920" xr:uid="{00000000-0005-0000-0000-0000071B0000}"/>
    <cellStyle name="Normal 8 2 2" xfId="6921" xr:uid="{00000000-0005-0000-0000-0000081B0000}"/>
    <cellStyle name="Normal 8 2_BD" xfId="6922" xr:uid="{00000000-0005-0000-0000-0000091B0000}"/>
    <cellStyle name="Normal 8 3" xfId="6923" xr:uid="{00000000-0005-0000-0000-00000A1B0000}"/>
    <cellStyle name="Normal 8 3 2" xfId="6924" xr:uid="{00000000-0005-0000-0000-00000B1B0000}"/>
    <cellStyle name="Normal 8 3_BD" xfId="6925" xr:uid="{00000000-0005-0000-0000-00000C1B0000}"/>
    <cellStyle name="Normal 8 4" xfId="6926" xr:uid="{00000000-0005-0000-0000-00000D1B0000}"/>
    <cellStyle name="Normal 8 5" xfId="6927" xr:uid="{00000000-0005-0000-0000-00000E1B0000}"/>
    <cellStyle name="Normal 8 6" xfId="6928" xr:uid="{00000000-0005-0000-0000-00000F1B0000}"/>
    <cellStyle name="Normal 8 7" xfId="6929" xr:uid="{00000000-0005-0000-0000-0000101B0000}"/>
    <cellStyle name="Normal 8 8" xfId="6930" xr:uid="{00000000-0005-0000-0000-0000111B0000}"/>
    <cellStyle name="Normal 8 9" xfId="6931" xr:uid="{00000000-0005-0000-0000-0000121B0000}"/>
    <cellStyle name="Normal 8_BD" xfId="6932" xr:uid="{00000000-0005-0000-0000-0000131B0000}"/>
    <cellStyle name="Normal 80" xfId="6933" xr:uid="{00000000-0005-0000-0000-0000141B0000}"/>
    <cellStyle name="Normal 81" xfId="6934" xr:uid="{00000000-0005-0000-0000-0000151B0000}"/>
    <cellStyle name="Normal 82" xfId="6935" xr:uid="{00000000-0005-0000-0000-0000161B0000}"/>
    <cellStyle name="Normal 83" xfId="6936" xr:uid="{00000000-0005-0000-0000-0000171B0000}"/>
    <cellStyle name="Normal 84" xfId="6937" xr:uid="{00000000-0005-0000-0000-0000181B0000}"/>
    <cellStyle name="Normal 85" xfId="6938" xr:uid="{00000000-0005-0000-0000-0000191B0000}"/>
    <cellStyle name="Normal 86" xfId="6939" xr:uid="{00000000-0005-0000-0000-00001A1B0000}"/>
    <cellStyle name="Normal 87" xfId="6940" xr:uid="{00000000-0005-0000-0000-00001B1B0000}"/>
    <cellStyle name="Normal 88" xfId="6941" xr:uid="{00000000-0005-0000-0000-00001C1B0000}"/>
    <cellStyle name="Normal 89" xfId="6942" xr:uid="{00000000-0005-0000-0000-00001D1B0000}"/>
    <cellStyle name="Normal 9" xfId="6943" xr:uid="{00000000-0005-0000-0000-00001E1B0000}"/>
    <cellStyle name="Normal 9 2" xfId="6944" xr:uid="{00000000-0005-0000-0000-00001F1B0000}"/>
    <cellStyle name="Normal 9 2 2" xfId="6945" xr:uid="{00000000-0005-0000-0000-0000201B0000}"/>
    <cellStyle name="Normal 9 2_BD" xfId="6946" xr:uid="{00000000-0005-0000-0000-0000211B0000}"/>
    <cellStyle name="Normal 9 3" xfId="6947" xr:uid="{00000000-0005-0000-0000-0000221B0000}"/>
    <cellStyle name="Normal 9 3 2" xfId="6948" xr:uid="{00000000-0005-0000-0000-0000231B0000}"/>
    <cellStyle name="Normal 9 4" xfId="6949" xr:uid="{00000000-0005-0000-0000-0000241B0000}"/>
    <cellStyle name="Normal 9_BD" xfId="6950" xr:uid="{00000000-0005-0000-0000-0000251B0000}"/>
    <cellStyle name="Normal 90" xfId="6951" xr:uid="{00000000-0005-0000-0000-0000261B0000}"/>
    <cellStyle name="Normal 91" xfId="6952" xr:uid="{00000000-0005-0000-0000-0000271B0000}"/>
    <cellStyle name="Normal 92" xfId="6953" xr:uid="{00000000-0005-0000-0000-0000281B0000}"/>
    <cellStyle name="Normal 93" xfId="6954" xr:uid="{00000000-0005-0000-0000-0000291B0000}"/>
    <cellStyle name="Normal 94" xfId="6955" xr:uid="{00000000-0005-0000-0000-00002A1B0000}"/>
    <cellStyle name="Normal 95" xfId="6956" xr:uid="{00000000-0005-0000-0000-00002B1B0000}"/>
    <cellStyle name="Normal 96" xfId="6957" xr:uid="{00000000-0005-0000-0000-00002C1B0000}"/>
    <cellStyle name="Normal 97" xfId="6958" xr:uid="{00000000-0005-0000-0000-00002D1B0000}"/>
    <cellStyle name="Normal 97 2" xfId="6959" xr:uid="{00000000-0005-0000-0000-00002E1B0000}"/>
    <cellStyle name="Normal 98" xfId="6960" xr:uid="{00000000-0005-0000-0000-00002F1B0000}"/>
    <cellStyle name="Normal 98 2" xfId="6961" xr:uid="{00000000-0005-0000-0000-0000301B0000}"/>
    <cellStyle name="Normal 99" xfId="6962" xr:uid="{00000000-0005-0000-0000-0000311B0000}"/>
    <cellStyle name="Normal 99 2" xfId="6963" xr:uid="{00000000-0005-0000-0000-0000321B0000}"/>
    <cellStyle name="Nota 10" xfId="6964" xr:uid="{00000000-0005-0000-0000-0000331B0000}"/>
    <cellStyle name="Nota 10 2" xfId="6965" xr:uid="{00000000-0005-0000-0000-0000341B0000}"/>
    <cellStyle name="Nota 10 2 2" xfId="6966" xr:uid="{00000000-0005-0000-0000-0000351B0000}"/>
    <cellStyle name="Nota 10 3" xfId="6967" xr:uid="{00000000-0005-0000-0000-0000361B0000}"/>
    <cellStyle name="Nota 10 3 2" xfId="6968" xr:uid="{00000000-0005-0000-0000-0000371B0000}"/>
    <cellStyle name="Nota 10 4" xfId="6969" xr:uid="{00000000-0005-0000-0000-0000381B0000}"/>
    <cellStyle name="Nota 10_BD" xfId="6970" xr:uid="{00000000-0005-0000-0000-0000391B0000}"/>
    <cellStyle name="Nota 100" xfId="6971" xr:uid="{00000000-0005-0000-0000-00003A1B0000}"/>
    <cellStyle name="Nota 101" xfId="6972" xr:uid="{00000000-0005-0000-0000-00003B1B0000}"/>
    <cellStyle name="Nota 102" xfId="6973" xr:uid="{00000000-0005-0000-0000-00003C1B0000}"/>
    <cellStyle name="Nota 103" xfId="6974" xr:uid="{00000000-0005-0000-0000-00003D1B0000}"/>
    <cellStyle name="Nota 104" xfId="6975" xr:uid="{00000000-0005-0000-0000-00003E1B0000}"/>
    <cellStyle name="Nota 105" xfId="6976" xr:uid="{00000000-0005-0000-0000-00003F1B0000}"/>
    <cellStyle name="Nota 106" xfId="6977" xr:uid="{00000000-0005-0000-0000-0000401B0000}"/>
    <cellStyle name="Nota 107" xfId="6978" xr:uid="{00000000-0005-0000-0000-0000411B0000}"/>
    <cellStyle name="Nota 108" xfId="6979" xr:uid="{00000000-0005-0000-0000-0000421B0000}"/>
    <cellStyle name="Nota 109" xfId="6980" xr:uid="{00000000-0005-0000-0000-0000431B0000}"/>
    <cellStyle name="Nota 11" xfId="6981" xr:uid="{00000000-0005-0000-0000-0000441B0000}"/>
    <cellStyle name="Nota 11 2" xfId="6982" xr:uid="{00000000-0005-0000-0000-0000451B0000}"/>
    <cellStyle name="Nota 11 2 2" xfId="6983" xr:uid="{00000000-0005-0000-0000-0000461B0000}"/>
    <cellStyle name="Nota 11 3" xfId="6984" xr:uid="{00000000-0005-0000-0000-0000471B0000}"/>
    <cellStyle name="Nota 11 3 2" xfId="6985" xr:uid="{00000000-0005-0000-0000-0000481B0000}"/>
    <cellStyle name="Nota 11 4" xfId="6986" xr:uid="{00000000-0005-0000-0000-0000491B0000}"/>
    <cellStyle name="Nota 11_BD" xfId="6987" xr:uid="{00000000-0005-0000-0000-00004A1B0000}"/>
    <cellStyle name="Nota 110" xfId="6988" xr:uid="{00000000-0005-0000-0000-00004B1B0000}"/>
    <cellStyle name="Nota 111" xfId="6989" xr:uid="{00000000-0005-0000-0000-00004C1B0000}"/>
    <cellStyle name="Nota 112" xfId="6990" xr:uid="{00000000-0005-0000-0000-00004D1B0000}"/>
    <cellStyle name="Nota 113" xfId="6991" xr:uid="{00000000-0005-0000-0000-00004E1B0000}"/>
    <cellStyle name="Nota 114" xfId="6992" xr:uid="{00000000-0005-0000-0000-00004F1B0000}"/>
    <cellStyle name="Nota 115" xfId="6993" xr:uid="{00000000-0005-0000-0000-0000501B0000}"/>
    <cellStyle name="Nota 116" xfId="6994" xr:uid="{00000000-0005-0000-0000-0000511B0000}"/>
    <cellStyle name="Nota 117" xfId="6995" xr:uid="{00000000-0005-0000-0000-0000521B0000}"/>
    <cellStyle name="Nota 118" xfId="6996" xr:uid="{00000000-0005-0000-0000-0000531B0000}"/>
    <cellStyle name="Nota 119" xfId="6997" xr:uid="{00000000-0005-0000-0000-0000541B0000}"/>
    <cellStyle name="Nota 12" xfId="6998" xr:uid="{00000000-0005-0000-0000-0000551B0000}"/>
    <cellStyle name="Nota 12 2" xfId="6999" xr:uid="{00000000-0005-0000-0000-0000561B0000}"/>
    <cellStyle name="Nota 12 2 2" xfId="7000" xr:uid="{00000000-0005-0000-0000-0000571B0000}"/>
    <cellStyle name="Nota 12 3" xfId="7001" xr:uid="{00000000-0005-0000-0000-0000581B0000}"/>
    <cellStyle name="Nota 12 3 2" xfId="7002" xr:uid="{00000000-0005-0000-0000-0000591B0000}"/>
    <cellStyle name="Nota 12 4" xfId="7003" xr:uid="{00000000-0005-0000-0000-00005A1B0000}"/>
    <cellStyle name="Nota 12_BD" xfId="7004" xr:uid="{00000000-0005-0000-0000-00005B1B0000}"/>
    <cellStyle name="Nota 120" xfId="7005" xr:uid="{00000000-0005-0000-0000-00005C1B0000}"/>
    <cellStyle name="Nota 13" xfId="7006" xr:uid="{00000000-0005-0000-0000-00005D1B0000}"/>
    <cellStyle name="Nota 13 2" xfId="7007" xr:uid="{00000000-0005-0000-0000-00005E1B0000}"/>
    <cellStyle name="Nota 13 2 2" xfId="7008" xr:uid="{00000000-0005-0000-0000-00005F1B0000}"/>
    <cellStyle name="Nota 13 3" xfId="7009" xr:uid="{00000000-0005-0000-0000-0000601B0000}"/>
    <cellStyle name="Nota 13 3 2" xfId="7010" xr:uid="{00000000-0005-0000-0000-0000611B0000}"/>
    <cellStyle name="Nota 13 4" xfId="7011" xr:uid="{00000000-0005-0000-0000-0000621B0000}"/>
    <cellStyle name="Nota 13_BD" xfId="7012" xr:uid="{00000000-0005-0000-0000-0000631B0000}"/>
    <cellStyle name="Nota 14" xfId="7013" xr:uid="{00000000-0005-0000-0000-0000641B0000}"/>
    <cellStyle name="Nota 14 2" xfId="7014" xr:uid="{00000000-0005-0000-0000-0000651B0000}"/>
    <cellStyle name="Nota 14 2 2" xfId="7015" xr:uid="{00000000-0005-0000-0000-0000661B0000}"/>
    <cellStyle name="Nota 14 3" xfId="7016" xr:uid="{00000000-0005-0000-0000-0000671B0000}"/>
    <cellStyle name="Nota 14 3 2" xfId="7017" xr:uid="{00000000-0005-0000-0000-0000681B0000}"/>
    <cellStyle name="Nota 14 4" xfId="7018" xr:uid="{00000000-0005-0000-0000-0000691B0000}"/>
    <cellStyle name="Nota 14_BD" xfId="7019" xr:uid="{00000000-0005-0000-0000-00006A1B0000}"/>
    <cellStyle name="Nota 15" xfId="7020" xr:uid="{00000000-0005-0000-0000-00006B1B0000}"/>
    <cellStyle name="Nota 15 2" xfId="7021" xr:uid="{00000000-0005-0000-0000-00006C1B0000}"/>
    <cellStyle name="Nota 15_BD" xfId="7022" xr:uid="{00000000-0005-0000-0000-00006D1B0000}"/>
    <cellStyle name="Nota 16" xfId="7023" xr:uid="{00000000-0005-0000-0000-00006E1B0000}"/>
    <cellStyle name="Nota 16 2" xfId="7024" xr:uid="{00000000-0005-0000-0000-00006F1B0000}"/>
    <cellStyle name="Nota 16_BD" xfId="7025" xr:uid="{00000000-0005-0000-0000-0000701B0000}"/>
    <cellStyle name="Nota 17" xfId="7026" xr:uid="{00000000-0005-0000-0000-0000711B0000}"/>
    <cellStyle name="Nota 17 2" xfId="7027" xr:uid="{00000000-0005-0000-0000-0000721B0000}"/>
    <cellStyle name="Nota 17_BD" xfId="7028" xr:uid="{00000000-0005-0000-0000-0000731B0000}"/>
    <cellStyle name="Nota 18" xfId="7029" xr:uid="{00000000-0005-0000-0000-0000741B0000}"/>
    <cellStyle name="Nota 18 2" xfId="7030" xr:uid="{00000000-0005-0000-0000-0000751B0000}"/>
    <cellStyle name="Nota 18_BD" xfId="7031" xr:uid="{00000000-0005-0000-0000-0000761B0000}"/>
    <cellStyle name="Nota 19" xfId="7032" xr:uid="{00000000-0005-0000-0000-0000771B0000}"/>
    <cellStyle name="Nota 19 2" xfId="7033" xr:uid="{00000000-0005-0000-0000-0000781B0000}"/>
    <cellStyle name="Nota 19_BD" xfId="7034" xr:uid="{00000000-0005-0000-0000-0000791B0000}"/>
    <cellStyle name="Nota 2" xfId="7035" xr:uid="{00000000-0005-0000-0000-00007A1B0000}"/>
    <cellStyle name="Nota 2 2" xfId="7036" xr:uid="{00000000-0005-0000-0000-00007B1B0000}"/>
    <cellStyle name="Nota 2 2 2" xfId="7037" xr:uid="{00000000-0005-0000-0000-00007C1B0000}"/>
    <cellStyle name="Nota 2 2 2 2" xfId="7038" xr:uid="{00000000-0005-0000-0000-00007D1B0000}"/>
    <cellStyle name="Nota 2 2 2 2 2" xfId="7039" xr:uid="{00000000-0005-0000-0000-00007E1B0000}"/>
    <cellStyle name="Nota 2 2 2_BD" xfId="7040" xr:uid="{00000000-0005-0000-0000-00007F1B0000}"/>
    <cellStyle name="Nota 2 2 3" xfId="7041" xr:uid="{00000000-0005-0000-0000-0000801B0000}"/>
    <cellStyle name="Nota 2 2 3 2" xfId="7042" xr:uid="{00000000-0005-0000-0000-0000811B0000}"/>
    <cellStyle name="Nota 2 2 3_BD" xfId="7043" xr:uid="{00000000-0005-0000-0000-0000821B0000}"/>
    <cellStyle name="Nota 2 2 4" xfId="7044" xr:uid="{00000000-0005-0000-0000-0000831B0000}"/>
    <cellStyle name="Nota 2 2 4 2" xfId="7045" xr:uid="{00000000-0005-0000-0000-0000841B0000}"/>
    <cellStyle name="Nota 2 2 4_Estoque Atual" xfId="7046" xr:uid="{00000000-0005-0000-0000-0000851B0000}"/>
    <cellStyle name="Nota 2 2_BD" xfId="7047" xr:uid="{00000000-0005-0000-0000-0000861B0000}"/>
    <cellStyle name="Nota 2 3" xfId="7048" xr:uid="{00000000-0005-0000-0000-0000871B0000}"/>
    <cellStyle name="Nota 2 3 2" xfId="7049" xr:uid="{00000000-0005-0000-0000-0000881B0000}"/>
    <cellStyle name="Nota 2 3 2 2" xfId="7050" xr:uid="{00000000-0005-0000-0000-0000891B0000}"/>
    <cellStyle name="Nota 2 3 2_Estoque Atual" xfId="7051" xr:uid="{00000000-0005-0000-0000-00008A1B0000}"/>
    <cellStyle name="Nota 2 3_BD" xfId="7052" xr:uid="{00000000-0005-0000-0000-00008B1B0000}"/>
    <cellStyle name="Nota 2 4" xfId="7053" xr:uid="{00000000-0005-0000-0000-00008C1B0000}"/>
    <cellStyle name="Nota 2 5" xfId="7054" xr:uid="{00000000-0005-0000-0000-00008D1B0000}"/>
    <cellStyle name="Nota 2 6" xfId="7055" xr:uid="{00000000-0005-0000-0000-00008E1B0000}"/>
    <cellStyle name="Nota 2 6 2" xfId="7056" xr:uid="{00000000-0005-0000-0000-00008F1B0000}"/>
    <cellStyle name="Nota 2_BD" xfId="7057" xr:uid="{00000000-0005-0000-0000-0000901B0000}"/>
    <cellStyle name="Nota 20" xfId="7058" xr:uid="{00000000-0005-0000-0000-0000911B0000}"/>
    <cellStyle name="Nota 20 2" xfId="7059" xr:uid="{00000000-0005-0000-0000-0000921B0000}"/>
    <cellStyle name="Nota 20_BD" xfId="7060" xr:uid="{00000000-0005-0000-0000-0000931B0000}"/>
    <cellStyle name="Nota 21" xfId="7061" xr:uid="{00000000-0005-0000-0000-0000941B0000}"/>
    <cellStyle name="Nota 21 2" xfId="7062" xr:uid="{00000000-0005-0000-0000-0000951B0000}"/>
    <cellStyle name="Nota 21_BD" xfId="7063" xr:uid="{00000000-0005-0000-0000-0000961B0000}"/>
    <cellStyle name="Nota 22" xfId="7064" xr:uid="{00000000-0005-0000-0000-0000971B0000}"/>
    <cellStyle name="Nota 22 2" xfId="7065" xr:uid="{00000000-0005-0000-0000-0000981B0000}"/>
    <cellStyle name="Nota 22_BD" xfId="7066" xr:uid="{00000000-0005-0000-0000-0000991B0000}"/>
    <cellStyle name="Nota 23" xfId="7067" xr:uid="{00000000-0005-0000-0000-00009A1B0000}"/>
    <cellStyle name="Nota 23 2" xfId="7068" xr:uid="{00000000-0005-0000-0000-00009B1B0000}"/>
    <cellStyle name="Nota 23_BD" xfId="7069" xr:uid="{00000000-0005-0000-0000-00009C1B0000}"/>
    <cellStyle name="Nota 24" xfId="7070" xr:uid="{00000000-0005-0000-0000-00009D1B0000}"/>
    <cellStyle name="Nota 24 2" xfId="7071" xr:uid="{00000000-0005-0000-0000-00009E1B0000}"/>
    <cellStyle name="Nota 24_BD" xfId="7072" xr:uid="{00000000-0005-0000-0000-00009F1B0000}"/>
    <cellStyle name="Nota 25" xfId="7073" xr:uid="{00000000-0005-0000-0000-0000A01B0000}"/>
    <cellStyle name="Nota 25 2" xfId="7074" xr:uid="{00000000-0005-0000-0000-0000A11B0000}"/>
    <cellStyle name="Nota 25_BD" xfId="7075" xr:uid="{00000000-0005-0000-0000-0000A21B0000}"/>
    <cellStyle name="Nota 26" xfId="7076" xr:uid="{00000000-0005-0000-0000-0000A31B0000}"/>
    <cellStyle name="Nota 26 2" xfId="7077" xr:uid="{00000000-0005-0000-0000-0000A41B0000}"/>
    <cellStyle name="Nota 26_BD" xfId="7078" xr:uid="{00000000-0005-0000-0000-0000A51B0000}"/>
    <cellStyle name="Nota 27" xfId="7079" xr:uid="{00000000-0005-0000-0000-0000A61B0000}"/>
    <cellStyle name="Nota 27 2" xfId="7080" xr:uid="{00000000-0005-0000-0000-0000A71B0000}"/>
    <cellStyle name="Nota 27_BD" xfId="7081" xr:uid="{00000000-0005-0000-0000-0000A81B0000}"/>
    <cellStyle name="Nota 28" xfId="7082" xr:uid="{00000000-0005-0000-0000-0000A91B0000}"/>
    <cellStyle name="Nota 28 2" xfId="7083" xr:uid="{00000000-0005-0000-0000-0000AA1B0000}"/>
    <cellStyle name="Nota 28_BD" xfId="7084" xr:uid="{00000000-0005-0000-0000-0000AB1B0000}"/>
    <cellStyle name="Nota 29" xfId="7085" xr:uid="{00000000-0005-0000-0000-0000AC1B0000}"/>
    <cellStyle name="Nota 29 2" xfId="7086" xr:uid="{00000000-0005-0000-0000-0000AD1B0000}"/>
    <cellStyle name="Nota 29_Estoque Atual" xfId="7087" xr:uid="{00000000-0005-0000-0000-0000AE1B0000}"/>
    <cellStyle name="Nota 3" xfId="7088" xr:uid="{00000000-0005-0000-0000-0000AF1B0000}"/>
    <cellStyle name="Nota 3 2" xfId="7089" xr:uid="{00000000-0005-0000-0000-0000B01B0000}"/>
    <cellStyle name="Nota 3 2 2" xfId="7090" xr:uid="{00000000-0005-0000-0000-0000B11B0000}"/>
    <cellStyle name="Nota 3 2_BD" xfId="7091" xr:uid="{00000000-0005-0000-0000-0000B21B0000}"/>
    <cellStyle name="Nota 3 3" xfId="7092" xr:uid="{00000000-0005-0000-0000-0000B31B0000}"/>
    <cellStyle name="Nota 3 3 2" xfId="7093" xr:uid="{00000000-0005-0000-0000-0000B41B0000}"/>
    <cellStyle name="Nota 3 3_BD" xfId="7094" xr:uid="{00000000-0005-0000-0000-0000B51B0000}"/>
    <cellStyle name="Nota 3 4" xfId="7095" xr:uid="{00000000-0005-0000-0000-0000B61B0000}"/>
    <cellStyle name="Nota 3 5" xfId="7096" xr:uid="{00000000-0005-0000-0000-0000B71B0000}"/>
    <cellStyle name="Nota 3_BD" xfId="7097" xr:uid="{00000000-0005-0000-0000-0000B81B0000}"/>
    <cellStyle name="Nota 30" xfId="7098" xr:uid="{00000000-0005-0000-0000-0000B91B0000}"/>
    <cellStyle name="Nota 31" xfId="7099" xr:uid="{00000000-0005-0000-0000-0000BA1B0000}"/>
    <cellStyle name="Nota 32" xfId="7100" xr:uid="{00000000-0005-0000-0000-0000BB1B0000}"/>
    <cellStyle name="Nota 33" xfId="7101" xr:uid="{00000000-0005-0000-0000-0000BC1B0000}"/>
    <cellStyle name="Nota 34" xfId="7102" xr:uid="{00000000-0005-0000-0000-0000BD1B0000}"/>
    <cellStyle name="Nota 35" xfId="7103" xr:uid="{00000000-0005-0000-0000-0000BE1B0000}"/>
    <cellStyle name="Nota 35 2" xfId="7104" xr:uid="{00000000-0005-0000-0000-0000BF1B0000}"/>
    <cellStyle name="Nota 35_Planejamento PCP" xfId="7105" xr:uid="{00000000-0005-0000-0000-0000C01B0000}"/>
    <cellStyle name="Nota 36" xfId="7106" xr:uid="{00000000-0005-0000-0000-0000C11B0000}"/>
    <cellStyle name="Nota 36 2" xfId="7107" xr:uid="{00000000-0005-0000-0000-0000C21B0000}"/>
    <cellStyle name="Nota 36 2 2" xfId="7108" xr:uid="{00000000-0005-0000-0000-0000C31B0000}"/>
    <cellStyle name="Nota 36 2 3" xfId="7109" xr:uid="{00000000-0005-0000-0000-0000C41B0000}"/>
    <cellStyle name="Nota 36 2 4" xfId="7110" xr:uid="{00000000-0005-0000-0000-0000C51B0000}"/>
    <cellStyle name="Nota 36 3" xfId="7111" xr:uid="{00000000-0005-0000-0000-0000C61B0000}"/>
    <cellStyle name="Nota 36 3 2" xfId="7112" xr:uid="{00000000-0005-0000-0000-0000C71B0000}"/>
    <cellStyle name="Nota 36 3 3" xfId="7113" xr:uid="{00000000-0005-0000-0000-0000C81B0000}"/>
    <cellStyle name="Nota 36 3 4" xfId="7114" xr:uid="{00000000-0005-0000-0000-0000C91B0000}"/>
    <cellStyle name="Nota 36 4" xfId="7115" xr:uid="{00000000-0005-0000-0000-0000CA1B0000}"/>
    <cellStyle name="Nota 36 5" xfId="7116" xr:uid="{00000000-0005-0000-0000-0000CB1B0000}"/>
    <cellStyle name="Nota 36 6" xfId="7117" xr:uid="{00000000-0005-0000-0000-0000CC1B0000}"/>
    <cellStyle name="Nota 37" xfId="7118" xr:uid="{00000000-0005-0000-0000-0000CD1B0000}"/>
    <cellStyle name="Nota 37 2" xfId="7119" xr:uid="{00000000-0005-0000-0000-0000CE1B0000}"/>
    <cellStyle name="Nota 37 3" xfId="7120" xr:uid="{00000000-0005-0000-0000-0000CF1B0000}"/>
    <cellStyle name="Nota 37 4" xfId="7121" xr:uid="{00000000-0005-0000-0000-0000D01B0000}"/>
    <cellStyle name="Nota 38" xfId="7122" xr:uid="{00000000-0005-0000-0000-0000D11B0000}"/>
    <cellStyle name="Nota 38 2" xfId="7123" xr:uid="{00000000-0005-0000-0000-0000D21B0000}"/>
    <cellStyle name="Nota 38 3" xfId="7124" xr:uid="{00000000-0005-0000-0000-0000D31B0000}"/>
    <cellStyle name="Nota 38 4" xfId="7125" xr:uid="{00000000-0005-0000-0000-0000D41B0000}"/>
    <cellStyle name="Nota 39" xfId="7126" xr:uid="{00000000-0005-0000-0000-0000D51B0000}"/>
    <cellStyle name="Nota 39 2" xfId="7127" xr:uid="{00000000-0005-0000-0000-0000D61B0000}"/>
    <cellStyle name="Nota 39 3" xfId="7128" xr:uid="{00000000-0005-0000-0000-0000D71B0000}"/>
    <cellStyle name="Nota 39 4" xfId="7129" xr:uid="{00000000-0005-0000-0000-0000D81B0000}"/>
    <cellStyle name="Nota 4" xfId="7130" xr:uid="{00000000-0005-0000-0000-0000D91B0000}"/>
    <cellStyle name="Nota 4 2" xfId="7131" xr:uid="{00000000-0005-0000-0000-0000DA1B0000}"/>
    <cellStyle name="Nota 4 2 2" xfId="7132" xr:uid="{00000000-0005-0000-0000-0000DB1B0000}"/>
    <cellStyle name="Nota 4 2_BD" xfId="7133" xr:uid="{00000000-0005-0000-0000-0000DC1B0000}"/>
    <cellStyle name="Nota 4 3" xfId="7134" xr:uid="{00000000-0005-0000-0000-0000DD1B0000}"/>
    <cellStyle name="Nota 4 3 2" xfId="7135" xr:uid="{00000000-0005-0000-0000-0000DE1B0000}"/>
    <cellStyle name="Nota 4 3_BD" xfId="7136" xr:uid="{00000000-0005-0000-0000-0000DF1B0000}"/>
    <cellStyle name="Nota 4 4" xfId="7137" xr:uid="{00000000-0005-0000-0000-0000E01B0000}"/>
    <cellStyle name="Nota 4_BD" xfId="7138" xr:uid="{00000000-0005-0000-0000-0000E11B0000}"/>
    <cellStyle name="Nota 40" xfId="7139" xr:uid="{00000000-0005-0000-0000-0000E21B0000}"/>
    <cellStyle name="Nota 40 2" xfId="7140" xr:uid="{00000000-0005-0000-0000-0000E31B0000}"/>
    <cellStyle name="Nota 40 3" xfId="7141" xr:uid="{00000000-0005-0000-0000-0000E41B0000}"/>
    <cellStyle name="Nota 40 4" xfId="7142" xr:uid="{00000000-0005-0000-0000-0000E51B0000}"/>
    <cellStyle name="Nota 41" xfId="7143" xr:uid="{00000000-0005-0000-0000-0000E61B0000}"/>
    <cellStyle name="Nota 42" xfId="7144" xr:uid="{00000000-0005-0000-0000-0000E71B0000}"/>
    <cellStyle name="Nota 43" xfId="7145" xr:uid="{00000000-0005-0000-0000-0000E81B0000}"/>
    <cellStyle name="Nota 44" xfId="7146" xr:uid="{00000000-0005-0000-0000-0000E91B0000}"/>
    <cellStyle name="Nota 45" xfId="7147" xr:uid="{00000000-0005-0000-0000-0000EA1B0000}"/>
    <cellStyle name="Nota 46" xfId="7148" xr:uid="{00000000-0005-0000-0000-0000EB1B0000}"/>
    <cellStyle name="Nota 47" xfId="7149" xr:uid="{00000000-0005-0000-0000-0000EC1B0000}"/>
    <cellStyle name="Nota 48" xfId="7150" xr:uid="{00000000-0005-0000-0000-0000ED1B0000}"/>
    <cellStyle name="Nota 49" xfId="7151" xr:uid="{00000000-0005-0000-0000-0000EE1B0000}"/>
    <cellStyle name="Nota 5" xfId="7152" xr:uid="{00000000-0005-0000-0000-0000EF1B0000}"/>
    <cellStyle name="Nota 5 2" xfId="7153" xr:uid="{00000000-0005-0000-0000-0000F01B0000}"/>
    <cellStyle name="Nota 5 2 2" xfId="7154" xr:uid="{00000000-0005-0000-0000-0000F11B0000}"/>
    <cellStyle name="Nota 5 2_BD" xfId="7155" xr:uid="{00000000-0005-0000-0000-0000F21B0000}"/>
    <cellStyle name="Nota 5 3" xfId="7156" xr:uid="{00000000-0005-0000-0000-0000F31B0000}"/>
    <cellStyle name="Nota 5 3 2" xfId="7157" xr:uid="{00000000-0005-0000-0000-0000F41B0000}"/>
    <cellStyle name="Nota 5 4" xfId="7158" xr:uid="{00000000-0005-0000-0000-0000F51B0000}"/>
    <cellStyle name="Nota 5_BD" xfId="7159" xr:uid="{00000000-0005-0000-0000-0000F61B0000}"/>
    <cellStyle name="Nota 50" xfId="7160" xr:uid="{00000000-0005-0000-0000-0000F71B0000}"/>
    <cellStyle name="Nota 51" xfId="7161" xr:uid="{00000000-0005-0000-0000-0000F81B0000}"/>
    <cellStyle name="Nota 52" xfId="7162" xr:uid="{00000000-0005-0000-0000-0000F91B0000}"/>
    <cellStyle name="Nota 53" xfId="7163" xr:uid="{00000000-0005-0000-0000-0000FA1B0000}"/>
    <cellStyle name="Nota 54" xfId="7164" xr:uid="{00000000-0005-0000-0000-0000FB1B0000}"/>
    <cellStyle name="Nota 55" xfId="7165" xr:uid="{00000000-0005-0000-0000-0000FC1B0000}"/>
    <cellStyle name="Nota 56" xfId="7166" xr:uid="{00000000-0005-0000-0000-0000FD1B0000}"/>
    <cellStyle name="Nota 57" xfId="7167" xr:uid="{00000000-0005-0000-0000-0000FE1B0000}"/>
    <cellStyle name="Nota 58" xfId="7168" xr:uid="{00000000-0005-0000-0000-0000FF1B0000}"/>
    <cellStyle name="Nota 59" xfId="7169" xr:uid="{00000000-0005-0000-0000-0000001C0000}"/>
    <cellStyle name="Nota 6" xfId="7170" xr:uid="{00000000-0005-0000-0000-0000011C0000}"/>
    <cellStyle name="Nota 6 2" xfId="7171" xr:uid="{00000000-0005-0000-0000-0000021C0000}"/>
    <cellStyle name="Nota 6 2 2" xfId="7172" xr:uid="{00000000-0005-0000-0000-0000031C0000}"/>
    <cellStyle name="Nota 6 2_BD" xfId="7173" xr:uid="{00000000-0005-0000-0000-0000041C0000}"/>
    <cellStyle name="Nota 6 3" xfId="7174" xr:uid="{00000000-0005-0000-0000-0000051C0000}"/>
    <cellStyle name="Nota 6 3 2" xfId="7175" xr:uid="{00000000-0005-0000-0000-0000061C0000}"/>
    <cellStyle name="Nota 6 4" xfId="7176" xr:uid="{00000000-0005-0000-0000-0000071C0000}"/>
    <cellStyle name="Nota 6_BD" xfId="7177" xr:uid="{00000000-0005-0000-0000-0000081C0000}"/>
    <cellStyle name="Nota 60" xfId="7178" xr:uid="{00000000-0005-0000-0000-0000091C0000}"/>
    <cellStyle name="Nota 61" xfId="7179" xr:uid="{00000000-0005-0000-0000-00000A1C0000}"/>
    <cellStyle name="Nota 62" xfId="7180" xr:uid="{00000000-0005-0000-0000-00000B1C0000}"/>
    <cellStyle name="Nota 63" xfId="7181" xr:uid="{00000000-0005-0000-0000-00000C1C0000}"/>
    <cellStyle name="Nota 64" xfId="7182" xr:uid="{00000000-0005-0000-0000-00000D1C0000}"/>
    <cellStyle name="Nota 65" xfId="7183" xr:uid="{00000000-0005-0000-0000-00000E1C0000}"/>
    <cellStyle name="Nota 66" xfId="7184" xr:uid="{00000000-0005-0000-0000-00000F1C0000}"/>
    <cellStyle name="Nota 67" xfId="7185" xr:uid="{00000000-0005-0000-0000-0000101C0000}"/>
    <cellStyle name="Nota 68" xfId="7186" xr:uid="{00000000-0005-0000-0000-0000111C0000}"/>
    <cellStyle name="Nota 69" xfId="7187" xr:uid="{00000000-0005-0000-0000-0000121C0000}"/>
    <cellStyle name="Nota 7" xfId="7188" xr:uid="{00000000-0005-0000-0000-0000131C0000}"/>
    <cellStyle name="Nota 7 2" xfId="7189" xr:uid="{00000000-0005-0000-0000-0000141C0000}"/>
    <cellStyle name="Nota 7 2 2" xfId="7190" xr:uid="{00000000-0005-0000-0000-0000151C0000}"/>
    <cellStyle name="Nota 7 2_BD" xfId="7191" xr:uid="{00000000-0005-0000-0000-0000161C0000}"/>
    <cellStyle name="Nota 7 3" xfId="7192" xr:uid="{00000000-0005-0000-0000-0000171C0000}"/>
    <cellStyle name="Nota 7 3 2" xfId="7193" xr:uid="{00000000-0005-0000-0000-0000181C0000}"/>
    <cellStyle name="Nota 7 4" xfId="7194" xr:uid="{00000000-0005-0000-0000-0000191C0000}"/>
    <cellStyle name="Nota 7_BD" xfId="7195" xr:uid="{00000000-0005-0000-0000-00001A1C0000}"/>
    <cellStyle name="Nota 70" xfId="7196" xr:uid="{00000000-0005-0000-0000-00001B1C0000}"/>
    <cellStyle name="Nota 71" xfId="7197" xr:uid="{00000000-0005-0000-0000-00001C1C0000}"/>
    <cellStyle name="Nota 72" xfId="7198" xr:uid="{00000000-0005-0000-0000-00001D1C0000}"/>
    <cellStyle name="Nota 73" xfId="7199" xr:uid="{00000000-0005-0000-0000-00001E1C0000}"/>
    <cellStyle name="Nota 74" xfId="7200" xr:uid="{00000000-0005-0000-0000-00001F1C0000}"/>
    <cellStyle name="Nota 75" xfId="7201" xr:uid="{00000000-0005-0000-0000-0000201C0000}"/>
    <cellStyle name="Nota 76" xfId="7202" xr:uid="{00000000-0005-0000-0000-0000211C0000}"/>
    <cellStyle name="Nota 77" xfId="7203" xr:uid="{00000000-0005-0000-0000-0000221C0000}"/>
    <cellStyle name="Nota 78" xfId="7204" xr:uid="{00000000-0005-0000-0000-0000231C0000}"/>
    <cellStyle name="Nota 79" xfId="7205" xr:uid="{00000000-0005-0000-0000-0000241C0000}"/>
    <cellStyle name="Nota 8" xfId="7206" xr:uid="{00000000-0005-0000-0000-0000251C0000}"/>
    <cellStyle name="Nota 8 2" xfId="7207" xr:uid="{00000000-0005-0000-0000-0000261C0000}"/>
    <cellStyle name="Nota 8 2 2" xfId="7208" xr:uid="{00000000-0005-0000-0000-0000271C0000}"/>
    <cellStyle name="Nota 8 3" xfId="7209" xr:uid="{00000000-0005-0000-0000-0000281C0000}"/>
    <cellStyle name="Nota 8 3 2" xfId="7210" xr:uid="{00000000-0005-0000-0000-0000291C0000}"/>
    <cellStyle name="Nota 8 4" xfId="7211" xr:uid="{00000000-0005-0000-0000-00002A1C0000}"/>
    <cellStyle name="Nota 8_BD" xfId="7212" xr:uid="{00000000-0005-0000-0000-00002B1C0000}"/>
    <cellStyle name="Nota 80" xfId="7213" xr:uid="{00000000-0005-0000-0000-00002C1C0000}"/>
    <cellStyle name="Nota 81" xfId="7214" xr:uid="{00000000-0005-0000-0000-00002D1C0000}"/>
    <cellStyle name="Nota 82" xfId="7215" xr:uid="{00000000-0005-0000-0000-00002E1C0000}"/>
    <cellStyle name="Nota 83" xfId="7216" xr:uid="{00000000-0005-0000-0000-00002F1C0000}"/>
    <cellStyle name="Nota 84" xfId="7217" xr:uid="{00000000-0005-0000-0000-0000301C0000}"/>
    <cellStyle name="Nota 85" xfId="7218" xr:uid="{00000000-0005-0000-0000-0000311C0000}"/>
    <cellStyle name="Nota 86" xfId="7219" xr:uid="{00000000-0005-0000-0000-0000321C0000}"/>
    <cellStyle name="Nota 87" xfId="7220" xr:uid="{00000000-0005-0000-0000-0000331C0000}"/>
    <cellStyle name="Nota 88" xfId="7221" xr:uid="{00000000-0005-0000-0000-0000341C0000}"/>
    <cellStyle name="Nota 89" xfId="7222" xr:uid="{00000000-0005-0000-0000-0000351C0000}"/>
    <cellStyle name="Nota 9" xfId="7223" xr:uid="{00000000-0005-0000-0000-0000361C0000}"/>
    <cellStyle name="Nota 9 2" xfId="7224" xr:uid="{00000000-0005-0000-0000-0000371C0000}"/>
    <cellStyle name="Nota 9 2 2" xfId="7225" xr:uid="{00000000-0005-0000-0000-0000381C0000}"/>
    <cellStyle name="Nota 9 3" xfId="7226" xr:uid="{00000000-0005-0000-0000-0000391C0000}"/>
    <cellStyle name="Nota 9 3 2" xfId="7227" xr:uid="{00000000-0005-0000-0000-00003A1C0000}"/>
    <cellStyle name="Nota 9 4" xfId="7228" xr:uid="{00000000-0005-0000-0000-00003B1C0000}"/>
    <cellStyle name="Nota 9_BD" xfId="7229" xr:uid="{00000000-0005-0000-0000-00003C1C0000}"/>
    <cellStyle name="Nota 90" xfId="7230" xr:uid="{00000000-0005-0000-0000-00003D1C0000}"/>
    <cellStyle name="Nota 91" xfId="7231" xr:uid="{00000000-0005-0000-0000-00003E1C0000}"/>
    <cellStyle name="Nota 92" xfId="7232" xr:uid="{00000000-0005-0000-0000-00003F1C0000}"/>
    <cellStyle name="Nota 93" xfId="7233" xr:uid="{00000000-0005-0000-0000-0000401C0000}"/>
    <cellStyle name="Nota 94" xfId="7234" xr:uid="{00000000-0005-0000-0000-0000411C0000}"/>
    <cellStyle name="Nota 95" xfId="7235" xr:uid="{00000000-0005-0000-0000-0000421C0000}"/>
    <cellStyle name="Nota 96" xfId="7236" xr:uid="{00000000-0005-0000-0000-0000431C0000}"/>
    <cellStyle name="Nota 97" xfId="7237" xr:uid="{00000000-0005-0000-0000-0000441C0000}"/>
    <cellStyle name="Nota 98" xfId="7238" xr:uid="{00000000-0005-0000-0000-0000451C0000}"/>
    <cellStyle name="Nota 99" xfId="7239" xr:uid="{00000000-0005-0000-0000-0000461C0000}"/>
    <cellStyle name="Porcentagem" xfId="2" builtinId="5"/>
    <cellStyle name="Porcentagem 2" xfId="7240" xr:uid="{00000000-0005-0000-0000-0000481C0000}"/>
    <cellStyle name="Porcentagem 2 10" xfId="7241" xr:uid="{00000000-0005-0000-0000-0000491C0000}"/>
    <cellStyle name="Porcentagem 2 11" xfId="7242" xr:uid="{00000000-0005-0000-0000-00004A1C0000}"/>
    <cellStyle name="Porcentagem 2 2" xfId="7243" xr:uid="{00000000-0005-0000-0000-00004B1C0000}"/>
    <cellStyle name="Porcentagem 2 2 2" xfId="7244" xr:uid="{00000000-0005-0000-0000-00004C1C0000}"/>
    <cellStyle name="Porcentagem 2 2 2 2" xfId="7245" xr:uid="{00000000-0005-0000-0000-00004D1C0000}"/>
    <cellStyle name="Porcentagem 2 2 2 2 2" xfId="7246" xr:uid="{00000000-0005-0000-0000-00004E1C0000}"/>
    <cellStyle name="Porcentagem 2 2 2 2 2 2" xfId="7247" xr:uid="{00000000-0005-0000-0000-00004F1C0000}"/>
    <cellStyle name="Porcentagem 2 2 2 2 3" xfId="7248" xr:uid="{00000000-0005-0000-0000-0000501C0000}"/>
    <cellStyle name="Porcentagem 2 2 2 3" xfId="7249" xr:uid="{00000000-0005-0000-0000-0000511C0000}"/>
    <cellStyle name="Porcentagem 2 2 2 4" xfId="7250" xr:uid="{00000000-0005-0000-0000-0000521C0000}"/>
    <cellStyle name="Porcentagem 2 2 2 4 2" xfId="7251" xr:uid="{00000000-0005-0000-0000-0000531C0000}"/>
    <cellStyle name="Porcentagem 2 2 3" xfId="7252" xr:uid="{00000000-0005-0000-0000-0000541C0000}"/>
    <cellStyle name="Porcentagem 2 2 4" xfId="7253" xr:uid="{00000000-0005-0000-0000-0000551C0000}"/>
    <cellStyle name="Porcentagem 2 2 5" xfId="7254" xr:uid="{00000000-0005-0000-0000-0000561C0000}"/>
    <cellStyle name="Porcentagem 2 2 5 2" xfId="7255" xr:uid="{00000000-0005-0000-0000-0000571C0000}"/>
    <cellStyle name="Porcentagem 2 3" xfId="7256" xr:uid="{00000000-0005-0000-0000-0000581C0000}"/>
    <cellStyle name="Porcentagem 2 4" xfId="7257" xr:uid="{00000000-0005-0000-0000-0000591C0000}"/>
    <cellStyle name="Porcentagem 2 5" xfId="7258" xr:uid="{00000000-0005-0000-0000-00005A1C0000}"/>
    <cellStyle name="Porcentagem 2 6" xfId="7259" xr:uid="{00000000-0005-0000-0000-00005B1C0000}"/>
    <cellStyle name="Porcentagem 2 7" xfId="7260" xr:uid="{00000000-0005-0000-0000-00005C1C0000}"/>
    <cellStyle name="Porcentagem 2 8" xfId="7261" xr:uid="{00000000-0005-0000-0000-00005D1C0000}"/>
    <cellStyle name="Porcentagem 2 9" xfId="7262" xr:uid="{00000000-0005-0000-0000-00005E1C0000}"/>
    <cellStyle name="Porcentagem 3" xfId="7263" xr:uid="{00000000-0005-0000-0000-00005F1C0000}"/>
    <cellStyle name="Porcentagem 3 2" xfId="7264" xr:uid="{00000000-0005-0000-0000-0000601C0000}"/>
    <cellStyle name="Porcentagem 3 2 2" xfId="7265" xr:uid="{00000000-0005-0000-0000-0000611C0000}"/>
    <cellStyle name="Porcentagem 3 2 3" xfId="7266" xr:uid="{00000000-0005-0000-0000-0000621C0000}"/>
    <cellStyle name="Porcentagem 3 2 4" xfId="7267" xr:uid="{00000000-0005-0000-0000-0000631C0000}"/>
    <cellStyle name="Porcentagem 3 2 5" xfId="7268" xr:uid="{00000000-0005-0000-0000-0000641C0000}"/>
    <cellStyle name="Porcentagem 3 2_Estoque Atual" xfId="7269" xr:uid="{00000000-0005-0000-0000-0000651C0000}"/>
    <cellStyle name="Porcentagem 3 3" xfId="7270" xr:uid="{00000000-0005-0000-0000-0000661C0000}"/>
    <cellStyle name="Porcentagem 3 3 2" xfId="7271" xr:uid="{00000000-0005-0000-0000-0000671C0000}"/>
    <cellStyle name="Porcentagem 3 3 3" xfId="7272" xr:uid="{00000000-0005-0000-0000-0000681C0000}"/>
    <cellStyle name="Porcentagem 3 3 4" xfId="7273" xr:uid="{00000000-0005-0000-0000-0000691C0000}"/>
    <cellStyle name="Porcentagem 3 4" xfId="7274" xr:uid="{00000000-0005-0000-0000-00006A1C0000}"/>
    <cellStyle name="Porcentagem 3 5" xfId="7275" xr:uid="{00000000-0005-0000-0000-00006B1C0000}"/>
    <cellStyle name="Porcentagem 3 6" xfId="7276" xr:uid="{00000000-0005-0000-0000-00006C1C0000}"/>
    <cellStyle name="Porcentagem 3 7" xfId="7277" xr:uid="{00000000-0005-0000-0000-00006D1C0000}"/>
    <cellStyle name="Porcentagem 4" xfId="7278" xr:uid="{00000000-0005-0000-0000-00006E1C0000}"/>
    <cellStyle name="Porcentagem 4 2" xfId="7279" xr:uid="{00000000-0005-0000-0000-00006F1C0000}"/>
    <cellStyle name="Porcentagem 4_Estoque Atual" xfId="7280" xr:uid="{00000000-0005-0000-0000-0000701C0000}"/>
    <cellStyle name="Porcentagem 5" xfId="7281" xr:uid="{00000000-0005-0000-0000-0000711C0000}"/>
    <cellStyle name="Porcentagem 6" xfId="7282" xr:uid="{00000000-0005-0000-0000-0000721C0000}"/>
    <cellStyle name="Porcentagem 7" xfId="7283" xr:uid="{00000000-0005-0000-0000-0000731C0000}"/>
    <cellStyle name="Saída 10" xfId="7284" xr:uid="{00000000-0005-0000-0000-0000741C0000}"/>
    <cellStyle name="Saída 10 2" xfId="7285" xr:uid="{00000000-0005-0000-0000-0000751C0000}"/>
    <cellStyle name="Saída 10_Estoque Atual" xfId="7286" xr:uid="{00000000-0005-0000-0000-0000761C0000}"/>
    <cellStyle name="Saída 100" xfId="7287" xr:uid="{00000000-0005-0000-0000-0000771C0000}"/>
    <cellStyle name="Saída 101" xfId="7288" xr:uid="{00000000-0005-0000-0000-0000781C0000}"/>
    <cellStyle name="Saída 102" xfId="7289" xr:uid="{00000000-0005-0000-0000-0000791C0000}"/>
    <cellStyle name="Saída 103" xfId="7290" xr:uid="{00000000-0005-0000-0000-00007A1C0000}"/>
    <cellStyle name="Saída 104" xfId="7291" xr:uid="{00000000-0005-0000-0000-00007B1C0000}"/>
    <cellStyle name="Saída 105" xfId="7292" xr:uid="{00000000-0005-0000-0000-00007C1C0000}"/>
    <cellStyle name="Saída 106" xfId="7293" xr:uid="{00000000-0005-0000-0000-00007D1C0000}"/>
    <cellStyle name="Saída 107" xfId="7294" xr:uid="{00000000-0005-0000-0000-00007E1C0000}"/>
    <cellStyle name="Saída 108" xfId="7295" xr:uid="{00000000-0005-0000-0000-00007F1C0000}"/>
    <cellStyle name="Saída 109" xfId="7296" xr:uid="{00000000-0005-0000-0000-0000801C0000}"/>
    <cellStyle name="Saída 11" xfId="7297" xr:uid="{00000000-0005-0000-0000-0000811C0000}"/>
    <cellStyle name="Saída 11 2" xfId="7298" xr:uid="{00000000-0005-0000-0000-0000821C0000}"/>
    <cellStyle name="Saída 11_Estoque Atual" xfId="7299" xr:uid="{00000000-0005-0000-0000-0000831C0000}"/>
    <cellStyle name="Saída 110" xfId="7300" xr:uid="{00000000-0005-0000-0000-0000841C0000}"/>
    <cellStyle name="Saída 111" xfId="7301" xr:uid="{00000000-0005-0000-0000-0000851C0000}"/>
    <cellStyle name="Saída 112" xfId="7302" xr:uid="{00000000-0005-0000-0000-0000861C0000}"/>
    <cellStyle name="Saída 113" xfId="7303" xr:uid="{00000000-0005-0000-0000-0000871C0000}"/>
    <cellStyle name="Saída 114" xfId="7304" xr:uid="{00000000-0005-0000-0000-0000881C0000}"/>
    <cellStyle name="Saída 115" xfId="7305" xr:uid="{00000000-0005-0000-0000-0000891C0000}"/>
    <cellStyle name="Saída 116" xfId="7306" xr:uid="{00000000-0005-0000-0000-00008A1C0000}"/>
    <cellStyle name="Saída 117" xfId="7307" xr:uid="{00000000-0005-0000-0000-00008B1C0000}"/>
    <cellStyle name="Saída 118" xfId="7308" xr:uid="{00000000-0005-0000-0000-00008C1C0000}"/>
    <cellStyle name="Saída 119" xfId="7309" xr:uid="{00000000-0005-0000-0000-00008D1C0000}"/>
    <cellStyle name="Saída 12" xfId="7310" xr:uid="{00000000-0005-0000-0000-00008E1C0000}"/>
    <cellStyle name="Saída 12 2" xfId="7311" xr:uid="{00000000-0005-0000-0000-00008F1C0000}"/>
    <cellStyle name="Saída 12_Estoque Atual" xfId="7312" xr:uid="{00000000-0005-0000-0000-0000901C0000}"/>
    <cellStyle name="Saída 120" xfId="7313" xr:uid="{00000000-0005-0000-0000-0000911C0000}"/>
    <cellStyle name="Saída 13" xfId="7314" xr:uid="{00000000-0005-0000-0000-0000921C0000}"/>
    <cellStyle name="Saída 13 2" xfId="7315" xr:uid="{00000000-0005-0000-0000-0000931C0000}"/>
    <cellStyle name="Saída 13_Estoque Atual" xfId="7316" xr:uid="{00000000-0005-0000-0000-0000941C0000}"/>
    <cellStyle name="Saída 14" xfId="7317" xr:uid="{00000000-0005-0000-0000-0000951C0000}"/>
    <cellStyle name="Saída 14 2" xfId="7318" xr:uid="{00000000-0005-0000-0000-0000961C0000}"/>
    <cellStyle name="Saída 14_Estoque Atual" xfId="7319" xr:uid="{00000000-0005-0000-0000-0000971C0000}"/>
    <cellStyle name="Saída 15" xfId="7320" xr:uid="{00000000-0005-0000-0000-0000981C0000}"/>
    <cellStyle name="Saída 15 2" xfId="7321" xr:uid="{00000000-0005-0000-0000-0000991C0000}"/>
    <cellStyle name="Saída 15_Estoque Atual" xfId="7322" xr:uid="{00000000-0005-0000-0000-00009A1C0000}"/>
    <cellStyle name="Saída 16" xfId="7323" xr:uid="{00000000-0005-0000-0000-00009B1C0000}"/>
    <cellStyle name="Saída 16 2" xfId="7324" xr:uid="{00000000-0005-0000-0000-00009C1C0000}"/>
    <cellStyle name="Saída 16_Estoque Atual" xfId="7325" xr:uid="{00000000-0005-0000-0000-00009D1C0000}"/>
    <cellStyle name="Saída 17" xfId="7326" xr:uid="{00000000-0005-0000-0000-00009E1C0000}"/>
    <cellStyle name="Saída 17 2" xfId="7327" xr:uid="{00000000-0005-0000-0000-00009F1C0000}"/>
    <cellStyle name="Saída 17_Estoque Atual" xfId="7328" xr:uid="{00000000-0005-0000-0000-0000A01C0000}"/>
    <cellStyle name="Saída 18" xfId="7329" xr:uid="{00000000-0005-0000-0000-0000A11C0000}"/>
    <cellStyle name="Saída 18 2" xfId="7330" xr:uid="{00000000-0005-0000-0000-0000A21C0000}"/>
    <cellStyle name="Saída 18_Estoque Atual" xfId="7331" xr:uid="{00000000-0005-0000-0000-0000A31C0000}"/>
    <cellStyle name="Saída 19" xfId="7332" xr:uid="{00000000-0005-0000-0000-0000A41C0000}"/>
    <cellStyle name="Saída 19 2" xfId="7333" xr:uid="{00000000-0005-0000-0000-0000A51C0000}"/>
    <cellStyle name="Saída 19_Estoque Atual" xfId="7334" xr:uid="{00000000-0005-0000-0000-0000A61C0000}"/>
    <cellStyle name="Saída 2" xfId="7335" xr:uid="{00000000-0005-0000-0000-0000A71C0000}"/>
    <cellStyle name="Saída 2 2" xfId="7336" xr:uid="{00000000-0005-0000-0000-0000A81C0000}"/>
    <cellStyle name="Saída 2 2 2" xfId="7337" xr:uid="{00000000-0005-0000-0000-0000A91C0000}"/>
    <cellStyle name="Saída 2 2 2 2" xfId="7338" xr:uid="{00000000-0005-0000-0000-0000AA1C0000}"/>
    <cellStyle name="Saída 2 2 2 2 2" xfId="7339" xr:uid="{00000000-0005-0000-0000-0000AB1C0000}"/>
    <cellStyle name="Saída 2 2 3" xfId="7340" xr:uid="{00000000-0005-0000-0000-0000AC1C0000}"/>
    <cellStyle name="Saída 2 2 4" xfId="7341" xr:uid="{00000000-0005-0000-0000-0000AD1C0000}"/>
    <cellStyle name="Saída 2 2_BD" xfId="7342" xr:uid="{00000000-0005-0000-0000-0000AE1C0000}"/>
    <cellStyle name="Saída 2 3" xfId="7343" xr:uid="{00000000-0005-0000-0000-0000AF1C0000}"/>
    <cellStyle name="Saída 2 4" xfId="7344" xr:uid="{00000000-0005-0000-0000-0000B01C0000}"/>
    <cellStyle name="Saída 2 5" xfId="7345" xr:uid="{00000000-0005-0000-0000-0000B11C0000}"/>
    <cellStyle name="Saída 2 6" xfId="7346" xr:uid="{00000000-0005-0000-0000-0000B21C0000}"/>
    <cellStyle name="Saída 2 6 2" xfId="7347" xr:uid="{00000000-0005-0000-0000-0000B31C0000}"/>
    <cellStyle name="Saída 2_BD" xfId="7348" xr:uid="{00000000-0005-0000-0000-0000B41C0000}"/>
    <cellStyle name="Saída 20" xfId="7349" xr:uid="{00000000-0005-0000-0000-0000B51C0000}"/>
    <cellStyle name="Saída 20 2" xfId="7350" xr:uid="{00000000-0005-0000-0000-0000B61C0000}"/>
    <cellStyle name="Saída 20_Estoque Atual" xfId="7351" xr:uid="{00000000-0005-0000-0000-0000B71C0000}"/>
    <cellStyle name="Saída 21" xfId="7352" xr:uid="{00000000-0005-0000-0000-0000B81C0000}"/>
    <cellStyle name="Saída 21 2" xfId="7353" xr:uid="{00000000-0005-0000-0000-0000B91C0000}"/>
    <cellStyle name="Saída 21_Estoque Atual" xfId="7354" xr:uid="{00000000-0005-0000-0000-0000BA1C0000}"/>
    <cellStyle name="Saída 22" xfId="7355" xr:uid="{00000000-0005-0000-0000-0000BB1C0000}"/>
    <cellStyle name="Saída 22 2" xfId="7356" xr:uid="{00000000-0005-0000-0000-0000BC1C0000}"/>
    <cellStyle name="Saída 22_Estoque Atual" xfId="7357" xr:uid="{00000000-0005-0000-0000-0000BD1C0000}"/>
    <cellStyle name="Saída 23" xfId="7358" xr:uid="{00000000-0005-0000-0000-0000BE1C0000}"/>
    <cellStyle name="Saída 23 2" xfId="7359" xr:uid="{00000000-0005-0000-0000-0000BF1C0000}"/>
    <cellStyle name="Saída 23_Estoque Atual" xfId="7360" xr:uid="{00000000-0005-0000-0000-0000C01C0000}"/>
    <cellStyle name="Saída 24" xfId="7361" xr:uid="{00000000-0005-0000-0000-0000C11C0000}"/>
    <cellStyle name="Saída 24 2" xfId="7362" xr:uid="{00000000-0005-0000-0000-0000C21C0000}"/>
    <cellStyle name="Saída 24_Estoque Atual" xfId="7363" xr:uid="{00000000-0005-0000-0000-0000C31C0000}"/>
    <cellStyle name="Saída 25" xfId="7364" xr:uid="{00000000-0005-0000-0000-0000C41C0000}"/>
    <cellStyle name="Saída 25 2" xfId="7365" xr:uid="{00000000-0005-0000-0000-0000C51C0000}"/>
    <cellStyle name="Saída 25_Estoque Atual" xfId="7366" xr:uid="{00000000-0005-0000-0000-0000C61C0000}"/>
    <cellStyle name="Saída 26" xfId="7367" xr:uid="{00000000-0005-0000-0000-0000C71C0000}"/>
    <cellStyle name="Saída 26 2" xfId="7368" xr:uid="{00000000-0005-0000-0000-0000C81C0000}"/>
    <cellStyle name="Saída 26_Estoque Atual" xfId="7369" xr:uid="{00000000-0005-0000-0000-0000C91C0000}"/>
    <cellStyle name="Saída 27" xfId="7370" xr:uid="{00000000-0005-0000-0000-0000CA1C0000}"/>
    <cellStyle name="Saída 27 2" xfId="7371" xr:uid="{00000000-0005-0000-0000-0000CB1C0000}"/>
    <cellStyle name="Saída 27_Estoque Atual" xfId="7372" xr:uid="{00000000-0005-0000-0000-0000CC1C0000}"/>
    <cellStyle name="Saída 28" xfId="7373" xr:uid="{00000000-0005-0000-0000-0000CD1C0000}"/>
    <cellStyle name="Saída 28 2" xfId="7374" xr:uid="{00000000-0005-0000-0000-0000CE1C0000}"/>
    <cellStyle name="Saída 28_Estoque Atual" xfId="7375" xr:uid="{00000000-0005-0000-0000-0000CF1C0000}"/>
    <cellStyle name="Saída 29" xfId="7376" xr:uid="{00000000-0005-0000-0000-0000D01C0000}"/>
    <cellStyle name="Saída 29 2" xfId="7377" xr:uid="{00000000-0005-0000-0000-0000D11C0000}"/>
    <cellStyle name="Saída 29_Estoque Atual" xfId="7378" xr:uid="{00000000-0005-0000-0000-0000D21C0000}"/>
    <cellStyle name="Saída 3" xfId="7379" xr:uid="{00000000-0005-0000-0000-0000D31C0000}"/>
    <cellStyle name="Saída 3 2" xfId="7380" xr:uid="{00000000-0005-0000-0000-0000D41C0000}"/>
    <cellStyle name="Saída 3 3" xfId="7381" xr:uid="{00000000-0005-0000-0000-0000D51C0000}"/>
    <cellStyle name="Saída 3_BD" xfId="7382" xr:uid="{00000000-0005-0000-0000-0000D61C0000}"/>
    <cellStyle name="Saída 30" xfId="7383" xr:uid="{00000000-0005-0000-0000-0000D71C0000}"/>
    <cellStyle name="Saída 31" xfId="7384" xr:uid="{00000000-0005-0000-0000-0000D81C0000}"/>
    <cellStyle name="Saída 32" xfId="7385" xr:uid="{00000000-0005-0000-0000-0000D91C0000}"/>
    <cellStyle name="Saída 33" xfId="7386" xr:uid="{00000000-0005-0000-0000-0000DA1C0000}"/>
    <cellStyle name="Saída 34" xfId="7387" xr:uid="{00000000-0005-0000-0000-0000DB1C0000}"/>
    <cellStyle name="Saída 35" xfId="7388" xr:uid="{00000000-0005-0000-0000-0000DC1C0000}"/>
    <cellStyle name="Saída 35 2" xfId="7389" xr:uid="{00000000-0005-0000-0000-0000DD1C0000}"/>
    <cellStyle name="Saída 35_Planejamento PCP" xfId="7390" xr:uid="{00000000-0005-0000-0000-0000DE1C0000}"/>
    <cellStyle name="Saída 36" xfId="7391" xr:uid="{00000000-0005-0000-0000-0000DF1C0000}"/>
    <cellStyle name="Saída 36 2" xfId="7392" xr:uid="{00000000-0005-0000-0000-0000E01C0000}"/>
    <cellStyle name="Saída 36_Planejamento PCP" xfId="7393" xr:uid="{00000000-0005-0000-0000-0000E11C0000}"/>
    <cellStyle name="Saída 37" xfId="7394" xr:uid="{00000000-0005-0000-0000-0000E21C0000}"/>
    <cellStyle name="Saída 37 2" xfId="7395" xr:uid="{00000000-0005-0000-0000-0000E31C0000}"/>
    <cellStyle name="Saída 37_Planejamento PCP" xfId="7396" xr:uid="{00000000-0005-0000-0000-0000E41C0000}"/>
    <cellStyle name="Saída 38" xfId="7397" xr:uid="{00000000-0005-0000-0000-0000E51C0000}"/>
    <cellStyle name="Saída 38 2" xfId="7398" xr:uid="{00000000-0005-0000-0000-0000E61C0000}"/>
    <cellStyle name="Saída 38_Planejamento PCP" xfId="7399" xr:uid="{00000000-0005-0000-0000-0000E71C0000}"/>
    <cellStyle name="Saída 39" xfId="7400" xr:uid="{00000000-0005-0000-0000-0000E81C0000}"/>
    <cellStyle name="Saída 39 2" xfId="7401" xr:uid="{00000000-0005-0000-0000-0000E91C0000}"/>
    <cellStyle name="Saída 39_Planejamento PCP" xfId="7402" xr:uid="{00000000-0005-0000-0000-0000EA1C0000}"/>
    <cellStyle name="Saída 4" xfId="7403" xr:uid="{00000000-0005-0000-0000-0000EB1C0000}"/>
    <cellStyle name="Saída 4 2" xfId="7404" xr:uid="{00000000-0005-0000-0000-0000EC1C0000}"/>
    <cellStyle name="Saída 4_Estoque Atual" xfId="7405" xr:uid="{00000000-0005-0000-0000-0000ED1C0000}"/>
    <cellStyle name="Saída 40" xfId="7406" xr:uid="{00000000-0005-0000-0000-0000EE1C0000}"/>
    <cellStyle name="Saída 40 2" xfId="7407" xr:uid="{00000000-0005-0000-0000-0000EF1C0000}"/>
    <cellStyle name="Saída 40_Planejamento PCP" xfId="7408" xr:uid="{00000000-0005-0000-0000-0000F01C0000}"/>
    <cellStyle name="Saída 41" xfId="7409" xr:uid="{00000000-0005-0000-0000-0000F11C0000}"/>
    <cellStyle name="Saída 42" xfId="7410" xr:uid="{00000000-0005-0000-0000-0000F21C0000}"/>
    <cellStyle name="Saída 43" xfId="7411" xr:uid="{00000000-0005-0000-0000-0000F31C0000}"/>
    <cellStyle name="Saída 44" xfId="7412" xr:uid="{00000000-0005-0000-0000-0000F41C0000}"/>
    <cellStyle name="Saída 45" xfId="7413" xr:uid="{00000000-0005-0000-0000-0000F51C0000}"/>
    <cellStyle name="Saída 46" xfId="7414" xr:uid="{00000000-0005-0000-0000-0000F61C0000}"/>
    <cellStyle name="Saída 47" xfId="7415" xr:uid="{00000000-0005-0000-0000-0000F71C0000}"/>
    <cellStyle name="Saída 48" xfId="7416" xr:uid="{00000000-0005-0000-0000-0000F81C0000}"/>
    <cellStyle name="Saída 49" xfId="7417" xr:uid="{00000000-0005-0000-0000-0000F91C0000}"/>
    <cellStyle name="Saída 5" xfId="7418" xr:uid="{00000000-0005-0000-0000-0000FA1C0000}"/>
    <cellStyle name="Saída 5 2" xfId="7419" xr:uid="{00000000-0005-0000-0000-0000FB1C0000}"/>
    <cellStyle name="Saída 5_Estoque Atual" xfId="7420" xr:uid="{00000000-0005-0000-0000-0000FC1C0000}"/>
    <cellStyle name="Saída 50" xfId="7421" xr:uid="{00000000-0005-0000-0000-0000FD1C0000}"/>
    <cellStyle name="Saída 51" xfId="7422" xr:uid="{00000000-0005-0000-0000-0000FE1C0000}"/>
    <cellStyle name="Saída 52" xfId="7423" xr:uid="{00000000-0005-0000-0000-0000FF1C0000}"/>
    <cellStyle name="Saída 53" xfId="7424" xr:uid="{00000000-0005-0000-0000-0000001D0000}"/>
    <cellStyle name="Saída 54" xfId="7425" xr:uid="{00000000-0005-0000-0000-0000011D0000}"/>
    <cellStyle name="Saída 55" xfId="7426" xr:uid="{00000000-0005-0000-0000-0000021D0000}"/>
    <cellStyle name="Saída 56" xfId="7427" xr:uid="{00000000-0005-0000-0000-0000031D0000}"/>
    <cellStyle name="Saída 57" xfId="7428" xr:uid="{00000000-0005-0000-0000-0000041D0000}"/>
    <cellStyle name="Saída 58" xfId="7429" xr:uid="{00000000-0005-0000-0000-0000051D0000}"/>
    <cellStyle name="Saída 59" xfId="7430" xr:uid="{00000000-0005-0000-0000-0000061D0000}"/>
    <cellStyle name="Saída 6" xfId="7431" xr:uid="{00000000-0005-0000-0000-0000071D0000}"/>
    <cellStyle name="Saída 6 2" xfId="7432" xr:uid="{00000000-0005-0000-0000-0000081D0000}"/>
    <cellStyle name="Saída 6_Estoque Atual" xfId="7433" xr:uid="{00000000-0005-0000-0000-0000091D0000}"/>
    <cellStyle name="Saída 60" xfId="7434" xr:uid="{00000000-0005-0000-0000-00000A1D0000}"/>
    <cellStyle name="Saída 61" xfId="7435" xr:uid="{00000000-0005-0000-0000-00000B1D0000}"/>
    <cellStyle name="Saída 62" xfId="7436" xr:uid="{00000000-0005-0000-0000-00000C1D0000}"/>
    <cellStyle name="Saída 63" xfId="7437" xr:uid="{00000000-0005-0000-0000-00000D1D0000}"/>
    <cellStyle name="Saída 64" xfId="7438" xr:uid="{00000000-0005-0000-0000-00000E1D0000}"/>
    <cellStyle name="Saída 65" xfId="7439" xr:uid="{00000000-0005-0000-0000-00000F1D0000}"/>
    <cellStyle name="Saída 66" xfId="7440" xr:uid="{00000000-0005-0000-0000-0000101D0000}"/>
    <cellStyle name="Saída 67" xfId="7441" xr:uid="{00000000-0005-0000-0000-0000111D0000}"/>
    <cellStyle name="Saída 68" xfId="7442" xr:uid="{00000000-0005-0000-0000-0000121D0000}"/>
    <cellStyle name="Saída 69" xfId="7443" xr:uid="{00000000-0005-0000-0000-0000131D0000}"/>
    <cellStyle name="Saída 7" xfId="7444" xr:uid="{00000000-0005-0000-0000-0000141D0000}"/>
    <cellStyle name="Saída 7 2" xfId="7445" xr:uid="{00000000-0005-0000-0000-0000151D0000}"/>
    <cellStyle name="Saída 7_Estoque Atual" xfId="7446" xr:uid="{00000000-0005-0000-0000-0000161D0000}"/>
    <cellStyle name="Saída 70" xfId="7447" xr:uid="{00000000-0005-0000-0000-0000171D0000}"/>
    <cellStyle name="Saída 71" xfId="7448" xr:uid="{00000000-0005-0000-0000-0000181D0000}"/>
    <cellStyle name="Saída 72" xfId="7449" xr:uid="{00000000-0005-0000-0000-0000191D0000}"/>
    <cellStyle name="Saída 73" xfId="7450" xr:uid="{00000000-0005-0000-0000-00001A1D0000}"/>
    <cellStyle name="Saída 74" xfId="7451" xr:uid="{00000000-0005-0000-0000-00001B1D0000}"/>
    <cellStyle name="Saída 75" xfId="7452" xr:uid="{00000000-0005-0000-0000-00001C1D0000}"/>
    <cellStyle name="Saída 76" xfId="7453" xr:uid="{00000000-0005-0000-0000-00001D1D0000}"/>
    <cellStyle name="Saída 77" xfId="7454" xr:uid="{00000000-0005-0000-0000-00001E1D0000}"/>
    <cellStyle name="Saída 78" xfId="7455" xr:uid="{00000000-0005-0000-0000-00001F1D0000}"/>
    <cellStyle name="Saída 79" xfId="7456" xr:uid="{00000000-0005-0000-0000-0000201D0000}"/>
    <cellStyle name="Saída 8" xfId="7457" xr:uid="{00000000-0005-0000-0000-0000211D0000}"/>
    <cellStyle name="Saída 8 2" xfId="7458" xr:uid="{00000000-0005-0000-0000-0000221D0000}"/>
    <cellStyle name="Saída 8_Estoque Atual" xfId="7459" xr:uid="{00000000-0005-0000-0000-0000231D0000}"/>
    <cellStyle name="Saída 80" xfId="7460" xr:uid="{00000000-0005-0000-0000-0000241D0000}"/>
    <cellStyle name="Saída 81" xfId="7461" xr:uid="{00000000-0005-0000-0000-0000251D0000}"/>
    <cellStyle name="Saída 82" xfId="7462" xr:uid="{00000000-0005-0000-0000-0000261D0000}"/>
    <cellStyle name="Saída 83" xfId="7463" xr:uid="{00000000-0005-0000-0000-0000271D0000}"/>
    <cellStyle name="Saída 84" xfId="7464" xr:uid="{00000000-0005-0000-0000-0000281D0000}"/>
    <cellStyle name="Saída 85" xfId="7465" xr:uid="{00000000-0005-0000-0000-0000291D0000}"/>
    <cellStyle name="Saída 86" xfId="7466" xr:uid="{00000000-0005-0000-0000-00002A1D0000}"/>
    <cellStyle name="Saída 87" xfId="7467" xr:uid="{00000000-0005-0000-0000-00002B1D0000}"/>
    <cellStyle name="Saída 88" xfId="7468" xr:uid="{00000000-0005-0000-0000-00002C1D0000}"/>
    <cellStyle name="Saída 89" xfId="7469" xr:uid="{00000000-0005-0000-0000-00002D1D0000}"/>
    <cellStyle name="Saída 9" xfId="7470" xr:uid="{00000000-0005-0000-0000-00002E1D0000}"/>
    <cellStyle name="Saída 9 2" xfId="7471" xr:uid="{00000000-0005-0000-0000-00002F1D0000}"/>
    <cellStyle name="Saída 9_Estoque Atual" xfId="7472" xr:uid="{00000000-0005-0000-0000-0000301D0000}"/>
    <cellStyle name="Saída 90" xfId="7473" xr:uid="{00000000-0005-0000-0000-0000311D0000}"/>
    <cellStyle name="Saída 91" xfId="7474" xr:uid="{00000000-0005-0000-0000-0000321D0000}"/>
    <cellStyle name="Saída 92" xfId="7475" xr:uid="{00000000-0005-0000-0000-0000331D0000}"/>
    <cellStyle name="Saída 93" xfId="7476" xr:uid="{00000000-0005-0000-0000-0000341D0000}"/>
    <cellStyle name="Saída 94" xfId="7477" xr:uid="{00000000-0005-0000-0000-0000351D0000}"/>
    <cellStyle name="Saída 95" xfId="7478" xr:uid="{00000000-0005-0000-0000-0000361D0000}"/>
    <cellStyle name="Saída 96" xfId="7479" xr:uid="{00000000-0005-0000-0000-0000371D0000}"/>
    <cellStyle name="Saída 97" xfId="7480" xr:uid="{00000000-0005-0000-0000-0000381D0000}"/>
    <cellStyle name="Saída 98" xfId="7481" xr:uid="{00000000-0005-0000-0000-0000391D0000}"/>
    <cellStyle name="Saída 99" xfId="7482" xr:uid="{00000000-0005-0000-0000-00003A1D0000}"/>
    <cellStyle name="SAPBEXaggData" xfId="7483" xr:uid="{00000000-0005-0000-0000-00003B1D0000}"/>
    <cellStyle name="SAPBEXaggData 2" xfId="7484" xr:uid="{00000000-0005-0000-0000-00003C1D0000}"/>
    <cellStyle name="SAPBEXaggData_Planejamento PCP" xfId="7485" xr:uid="{00000000-0005-0000-0000-00003D1D0000}"/>
    <cellStyle name="SAPBEXaggDataEmph" xfId="7486" xr:uid="{00000000-0005-0000-0000-00003E1D0000}"/>
    <cellStyle name="SAPBEXaggDataEmph 2" xfId="7487" xr:uid="{00000000-0005-0000-0000-00003F1D0000}"/>
    <cellStyle name="SAPBEXaggDataEmph_Planejamento PCP" xfId="7488" xr:uid="{00000000-0005-0000-0000-0000401D0000}"/>
    <cellStyle name="SAPBEXaggItem" xfId="7489" xr:uid="{00000000-0005-0000-0000-0000411D0000}"/>
    <cellStyle name="SAPBEXaggItem 2" xfId="7490" xr:uid="{00000000-0005-0000-0000-0000421D0000}"/>
    <cellStyle name="SAPBEXaggItem_Planejamento PCP" xfId="7491" xr:uid="{00000000-0005-0000-0000-0000431D0000}"/>
    <cellStyle name="SAPBEXaggItemX" xfId="7492" xr:uid="{00000000-0005-0000-0000-0000441D0000}"/>
    <cellStyle name="SAPBEXaggItemX 2" xfId="7493" xr:uid="{00000000-0005-0000-0000-0000451D0000}"/>
    <cellStyle name="SAPBEXaggItemX_Planejamento PCP" xfId="7494" xr:uid="{00000000-0005-0000-0000-0000461D0000}"/>
    <cellStyle name="SAPBEXchaText" xfId="7495" xr:uid="{00000000-0005-0000-0000-0000471D0000}"/>
    <cellStyle name="SAPBEXexcBad" xfId="7496" xr:uid="{00000000-0005-0000-0000-0000481D0000}"/>
    <cellStyle name="SAPBEXexcBad7" xfId="7497" xr:uid="{00000000-0005-0000-0000-0000491D0000}"/>
    <cellStyle name="SAPBEXexcBad7 2" xfId="7498" xr:uid="{00000000-0005-0000-0000-00004A1D0000}"/>
    <cellStyle name="SAPBEXexcBad7_Planejamento PCP" xfId="7499" xr:uid="{00000000-0005-0000-0000-00004B1D0000}"/>
    <cellStyle name="SAPBEXexcBad8" xfId="7500" xr:uid="{00000000-0005-0000-0000-00004C1D0000}"/>
    <cellStyle name="SAPBEXexcBad8 2" xfId="7501" xr:uid="{00000000-0005-0000-0000-00004D1D0000}"/>
    <cellStyle name="SAPBEXexcBad8_Planejamento PCP" xfId="7502" xr:uid="{00000000-0005-0000-0000-00004E1D0000}"/>
    <cellStyle name="SAPBEXexcBad9" xfId="7503" xr:uid="{00000000-0005-0000-0000-00004F1D0000}"/>
    <cellStyle name="SAPBEXexcBad9 2" xfId="7504" xr:uid="{00000000-0005-0000-0000-0000501D0000}"/>
    <cellStyle name="SAPBEXexcBad9_Planejamento PCP" xfId="7505" xr:uid="{00000000-0005-0000-0000-0000511D0000}"/>
    <cellStyle name="SAPBEXexcCritical" xfId="7506" xr:uid="{00000000-0005-0000-0000-0000521D0000}"/>
    <cellStyle name="SAPBEXexcCritical4" xfId="7507" xr:uid="{00000000-0005-0000-0000-0000531D0000}"/>
    <cellStyle name="SAPBEXexcCritical4 2" xfId="7508" xr:uid="{00000000-0005-0000-0000-0000541D0000}"/>
    <cellStyle name="SAPBEXexcCritical4_Planejamento PCP" xfId="7509" xr:uid="{00000000-0005-0000-0000-0000551D0000}"/>
    <cellStyle name="SAPBEXexcCritical5" xfId="7510" xr:uid="{00000000-0005-0000-0000-0000561D0000}"/>
    <cellStyle name="SAPBEXexcCritical5 2" xfId="7511" xr:uid="{00000000-0005-0000-0000-0000571D0000}"/>
    <cellStyle name="SAPBEXexcCritical5_Planejamento PCP" xfId="7512" xr:uid="{00000000-0005-0000-0000-0000581D0000}"/>
    <cellStyle name="SAPBEXexcCritical6" xfId="7513" xr:uid="{00000000-0005-0000-0000-0000591D0000}"/>
    <cellStyle name="SAPBEXexcCritical6 2" xfId="7514" xr:uid="{00000000-0005-0000-0000-00005A1D0000}"/>
    <cellStyle name="SAPBEXexcCritical6_Planejamento PCP" xfId="7515" xr:uid="{00000000-0005-0000-0000-00005B1D0000}"/>
    <cellStyle name="SAPBEXexcGood" xfId="7516" xr:uid="{00000000-0005-0000-0000-00005C1D0000}"/>
    <cellStyle name="SAPBEXexcGood1" xfId="7517" xr:uid="{00000000-0005-0000-0000-00005D1D0000}"/>
    <cellStyle name="SAPBEXexcGood1 2" xfId="7518" xr:uid="{00000000-0005-0000-0000-00005E1D0000}"/>
    <cellStyle name="SAPBEXexcGood1_Planejamento PCP" xfId="7519" xr:uid="{00000000-0005-0000-0000-00005F1D0000}"/>
    <cellStyle name="SAPBEXexcGood2" xfId="7520" xr:uid="{00000000-0005-0000-0000-0000601D0000}"/>
    <cellStyle name="SAPBEXexcGood2 2" xfId="7521" xr:uid="{00000000-0005-0000-0000-0000611D0000}"/>
    <cellStyle name="SAPBEXexcGood2_Planejamento PCP" xfId="7522" xr:uid="{00000000-0005-0000-0000-0000621D0000}"/>
    <cellStyle name="SAPBEXexcGood3" xfId="7523" xr:uid="{00000000-0005-0000-0000-0000631D0000}"/>
    <cellStyle name="SAPBEXexcGood3 2" xfId="7524" xr:uid="{00000000-0005-0000-0000-0000641D0000}"/>
    <cellStyle name="SAPBEXexcGood3_Planejamento PCP" xfId="7525" xr:uid="{00000000-0005-0000-0000-0000651D0000}"/>
    <cellStyle name="SAPBEXexcVeryBad" xfId="7526" xr:uid="{00000000-0005-0000-0000-0000661D0000}"/>
    <cellStyle name="SAPBEXfilterDrill" xfId="7527" xr:uid="{00000000-0005-0000-0000-0000671D0000}"/>
    <cellStyle name="SAPBEXfilterDrill 2" xfId="7528" xr:uid="{00000000-0005-0000-0000-0000681D0000}"/>
    <cellStyle name="SAPBEXfilterDrill_Planejamento PCP" xfId="7529" xr:uid="{00000000-0005-0000-0000-0000691D0000}"/>
    <cellStyle name="SAPBEXfilterItem" xfId="7530" xr:uid="{00000000-0005-0000-0000-00006A1D0000}"/>
    <cellStyle name="SAPBEXfilterText" xfId="7531" xr:uid="{00000000-0005-0000-0000-00006B1D0000}"/>
    <cellStyle name="SAPBEXformats" xfId="7532" xr:uid="{00000000-0005-0000-0000-00006C1D0000}"/>
    <cellStyle name="SAPBEXheaderData" xfId="7533" xr:uid="{00000000-0005-0000-0000-00006D1D0000}"/>
    <cellStyle name="SAPBEXheaderItem" xfId="7534" xr:uid="{00000000-0005-0000-0000-00006E1D0000}"/>
    <cellStyle name="SAPBEXheaderText" xfId="7535" xr:uid="{00000000-0005-0000-0000-00006F1D0000}"/>
    <cellStyle name="SAPBEXHLevel0" xfId="7536" xr:uid="{00000000-0005-0000-0000-0000701D0000}"/>
    <cellStyle name="SAPBEXHLevel0 2" xfId="7537" xr:uid="{00000000-0005-0000-0000-0000711D0000}"/>
    <cellStyle name="SAPBEXHLevel0_Planejamento PCP" xfId="7538" xr:uid="{00000000-0005-0000-0000-0000721D0000}"/>
    <cellStyle name="SAPBEXHLevel0X" xfId="7539" xr:uid="{00000000-0005-0000-0000-0000731D0000}"/>
    <cellStyle name="SAPBEXHLevel0X 2" xfId="7540" xr:uid="{00000000-0005-0000-0000-0000741D0000}"/>
    <cellStyle name="SAPBEXHLevel0X_Planejamento PCP" xfId="7541" xr:uid="{00000000-0005-0000-0000-0000751D0000}"/>
    <cellStyle name="SAPBEXHLevel1" xfId="7542" xr:uid="{00000000-0005-0000-0000-0000761D0000}"/>
    <cellStyle name="SAPBEXHLevel1 2" xfId="7543" xr:uid="{00000000-0005-0000-0000-0000771D0000}"/>
    <cellStyle name="SAPBEXHLevel1_Planejamento PCP" xfId="7544" xr:uid="{00000000-0005-0000-0000-0000781D0000}"/>
    <cellStyle name="SAPBEXHLevel1X" xfId="7545" xr:uid="{00000000-0005-0000-0000-0000791D0000}"/>
    <cellStyle name="SAPBEXHLevel1X 2" xfId="7546" xr:uid="{00000000-0005-0000-0000-00007A1D0000}"/>
    <cellStyle name="SAPBEXHLevel1X_Planejamento PCP" xfId="7547" xr:uid="{00000000-0005-0000-0000-00007B1D0000}"/>
    <cellStyle name="SAPBEXHLevel2" xfId="7548" xr:uid="{00000000-0005-0000-0000-00007C1D0000}"/>
    <cellStyle name="SAPBEXHLevel2 2" xfId="7549" xr:uid="{00000000-0005-0000-0000-00007D1D0000}"/>
    <cellStyle name="SAPBEXHLevel2_Planejamento PCP" xfId="7550" xr:uid="{00000000-0005-0000-0000-00007E1D0000}"/>
    <cellStyle name="SAPBEXHLevel2X" xfId="7551" xr:uid="{00000000-0005-0000-0000-00007F1D0000}"/>
    <cellStyle name="SAPBEXHLevel2X 2" xfId="7552" xr:uid="{00000000-0005-0000-0000-0000801D0000}"/>
    <cellStyle name="SAPBEXHLevel2X_Planejamento PCP" xfId="7553" xr:uid="{00000000-0005-0000-0000-0000811D0000}"/>
    <cellStyle name="SAPBEXHLevel3" xfId="7554" xr:uid="{00000000-0005-0000-0000-0000821D0000}"/>
    <cellStyle name="SAPBEXHLevel3 2" xfId="7555" xr:uid="{00000000-0005-0000-0000-0000831D0000}"/>
    <cellStyle name="SAPBEXHLevel3_Planejamento PCP" xfId="7556" xr:uid="{00000000-0005-0000-0000-0000841D0000}"/>
    <cellStyle name="SAPBEXHLevel3X" xfId="7557" xr:uid="{00000000-0005-0000-0000-0000851D0000}"/>
    <cellStyle name="SAPBEXHLevel3X 2" xfId="7558" xr:uid="{00000000-0005-0000-0000-0000861D0000}"/>
    <cellStyle name="SAPBEXHLevel3X_Planejamento PCP" xfId="7559" xr:uid="{00000000-0005-0000-0000-0000871D0000}"/>
    <cellStyle name="SAPBEXresData" xfId="7560" xr:uid="{00000000-0005-0000-0000-0000881D0000}"/>
    <cellStyle name="SAPBEXresDataEmph" xfId="7561" xr:uid="{00000000-0005-0000-0000-0000891D0000}"/>
    <cellStyle name="SAPBEXresItem" xfId="7562" xr:uid="{00000000-0005-0000-0000-00008A1D0000}"/>
    <cellStyle name="SAPBEXresItemX" xfId="7563" xr:uid="{00000000-0005-0000-0000-00008B1D0000}"/>
    <cellStyle name="SAPBEXresItemX 2" xfId="7564" xr:uid="{00000000-0005-0000-0000-00008C1D0000}"/>
    <cellStyle name="SAPBEXresItemX_Planejamento PCP" xfId="7565" xr:uid="{00000000-0005-0000-0000-00008D1D0000}"/>
    <cellStyle name="SAPBEXstdData" xfId="7566" xr:uid="{00000000-0005-0000-0000-00008E1D0000}"/>
    <cellStyle name="SAPBEXstdDataEmph" xfId="7567" xr:uid="{00000000-0005-0000-0000-00008F1D0000}"/>
    <cellStyle name="SAPBEXstdItem" xfId="7568" xr:uid="{00000000-0005-0000-0000-0000901D0000}"/>
    <cellStyle name="SAPBEXstdItemX" xfId="7569" xr:uid="{00000000-0005-0000-0000-0000911D0000}"/>
    <cellStyle name="SAPBEXstdItemX 2" xfId="7570" xr:uid="{00000000-0005-0000-0000-0000921D0000}"/>
    <cellStyle name="SAPBEXstdItemX_Planejamento PCP" xfId="7571" xr:uid="{00000000-0005-0000-0000-0000931D0000}"/>
    <cellStyle name="SAPBEXsubData" xfId="7572" xr:uid="{00000000-0005-0000-0000-0000941D0000}"/>
    <cellStyle name="SAPBEXsubDataEmph" xfId="7573" xr:uid="{00000000-0005-0000-0000-0000951D0000}"/>
    <cellStyle name="SAPBEXsubItem" xfId="7574" xr:uid="{00000000-0005-0000-0000-0000961D0000}"/>
    <cellStyle name="SAPBEXtitle" xfId="7575" xr:uid="{00000000-0005-0000-0000-0000971D0000}"/>
    <cellStyle name="SAPBEXundefined" xfId="7576" xr:uid="{00000000-0005-0000-0000-0000981D0000}"/>
    <cellStyle name="SAPBEXundefined 2" xfId="7577" xr:uid="{00000000-0005-0000-0000-0000991D0000}"/>
    <cellStyle name="SAPBEXundefined_Planejamento PCP" xfId="7578" xr:uid="{00000000-0005-0000-0000-00009A1D0000}"/>
    <cellStyle name="Separador de milhares 10" xfId="7579" xr:uid="{00000000-0005-0000-0000-00009B1D0000}"/>
    <cellStyle name="Separador de milhares 10 10" xfId="7580" xr:uid="{00000000-0005-0000-0000-00009C1D0000}"/>
    <cellStyle name="Separador de milhares 10 10 2" xfId="7581" xr:uid="{00000000-0005-0000-0000-00009D1D0000}"/>
    <cellStyle name="Separador de milhares 10 10_Estoque Atual" xfId="7582" xr:uid="{00000000-0005-0000-0000-00009E1D0000}"/>
    <cellStyle name="Separador de milhares 10 11" xfId="7583" xr:uid="{00000000-0005-0000-0000-00009F1D0000}"/>
    <cellStyle name="Separador de milhares 10 2" xfId="7584" xr:uid="{00000000-0005-0000-0000-0000A01D0000}"/>
    <cellStyle name="Separador de milhares 10 2 2" xfId="7585" xr:uid="{00000000-0005-0000-0000-0000A11D0000}"/>
    <cellStyle name="Separador de milhares 10 2 2 2" xfId="7586" xr:uid="{00000000-0005-0000-0000-0000A21D0000}"/>
    <cellStyle name="Separador de milhares 10 2 2 2 2" xfId="7587" xr:uid="{00000000-0005-0000-0000-0000A31D0000}"/>
    <cellStyle name="Separador de milhares 10 2 2 2_Estoque Atual" xfId="7588" xr:uid="{00000000-0005-0000-0000-0000A41D0000}"/>
    <cellStyle name="Separador de milhares 10 2 2 3" xfId="7589" xr:uid="{00000000-0005-0000-0000-0000A51D0000}"/>
    <cellStyle name="Separador de milhares 10 2 2 3 2" xfId="7590" xr:uid="{00000000-0005-0000-0000-0000A61D0000}"/>
    <cellStyle name="Separador de milhares 10 2 2 3_Estoque Atual" xfId="7591" xr:uid="{00000000-0005-0000-0000-0000A71D0000}"/>
    <cellStyle name="Separador de milhares 10 2 2 4" xfId="7592" xr:uid="{00000000-0005-0000-0000-0000A81D0000}"/>
    <cellStyle name="Separador de milhares 10 2 2_Estoque Atual" xfId="7593" xr:uid="{00000000-0005-0000-0000-0000A91D0000}"/>
    <cellStyle name="Separador de milhares 10 2 3" xfId="7594" xr:uid="{00000000-0005-0000-0000-0000AA1D0000}"/>
    <cellStyle name="Separador de milhares 10 2 3 2" xfId="7595" xr:uid="{00000000-0005-0000-0000-0000AB1D0000}"/>
    <cellStyle name="Separador de milhares 10 2 3 2 2" xfId="7596" xr:uid="{00000000-0005-0000-0000-0000AC1D0000}"/>
    <cellStyle name="Separador de milhares 10 2 3 2_Estoque Atual" xfId="7597" xr:uid="{00000000-0005-0000-0000-0000AD1D0000}"/>
    <cellStyle name="Separador de milhares 10 2 3 3" xfId="7598" xr:uid="{00000000-0005-0000-0000-0000AE1D0000}"/>
    <cellStyle name="Separador de milhares 10 2 3 3 2" xfId="7599" xr:uid="{00000000-0005-0000-0000-0000AF1D0000}"/>
    <cellStyle name="Separador de milhares 10 2 3 3_Estoque Atual" xfId="7600" xr:uid="{00000000-0005-0000-0000-0000B01D0000}"/>
    <cellStyle name="Separador de milhares 10 2 3 4" xfId="7601" xr:uid="{00000000-0005-0000-0000-0000B11D0000}"/>
    <cellStyle name="Separador de milhares 10 2 3_Estoque Atual" xfId="7602" xr:uid="{00000000-0005-0000-0000-0000B21D0000}"/>
    <cellStyle name="Separador de milhares 10 2 4" xfId="7603" xr:uid="{00000000-0005-0000-0000-0000B31D0000}"/>
    <cellStyle name="Separador de milhares 10 2 4 2" xfId="7604" xr:uid="{00000000-0005-0000-0000-0000B41D0000}"/>
    <cellStyle name="Separador de milhares 10 2 4_Estoque Atual" xfId="7605" xr:uid="{00000000-0005-0000-0000-0000B51D0000}"/>
    <cellStyle name="Separador de milhares 10 2 5" xfId="7606" xr:uid="{00000000-0005-0000-0000-0000B61D0000}"/>
    <cellStyle name="Separador de milhares 10 2 5 2" xfId="7607" xr:uid="{00000000-0005-0000-0000-0000B71D0000}"/>
    <cellStyle name="Separador de milhares 10 2 5_Estoque Atual" xfId="7608" xr:uid="{00000000-0005-0000-0000-0000B81D0000}"/>
    <cellStyle name="Separador de milhares 10 2 6" xfId="7609" xr:uid="{00000000-0005-0000-0000-0000B91D0000}"/>
    <cellStyle name="Separador de milhares 10 2_Estoque Atual" xfId="7610" xr:uid="{00000000-0005-0000-0000-0000BA1D0000}"/>
    <cellStyle name="Separador de milhares 10 3" xfId="7611" xr:uid="{00000000-0005-0000-0000-0000BB1D0000}"/>
    <cellStyle name="Separador de milhares 10 3 2" xfId="7612" xr:uid="{00000000-0005-0000-0000-0000BC1D0000}"/>
    <cellStyle name="Separador de milhares 10 3 2 2" xfId="7613" xr:uid="{00000000-0005-0000-0000-0000BD1D0000}"/>
    <cellStyle name="Separador de milhares 10 3 2 2 2" xfId="7614" xr:uid="{00000000-0005-0000-0000-0000BE1D0000}"/>
    <cellStyle name="Separador de milhares 10 3 2 2_Estoque Atual" xfId="7615" xr:uid="{00000000-0005-0000-0000-0000BF1D0000}"/>
    <cellStyle name="Separador de milhares 10 3 2 3" xfId="7616" xr:uid="{00000000-0005-0000-0000-0000C01D0000}"/>
    <cellStyle name="Separador de milhares 10 3 2 3 2" xfId="7617" xr:uid="{00000000-0005-0000-0000-0000C11D0000}"/>
    <cellStyle name="Separador de milhares 10 3 2 3_Estoque Atual" xfId="7618" xr:uid="{00000000-0005-0000-0000-0000C21D0000}"/>
    <cellStyle name="Separador de milhares 10 3 2 4" xfId="7619" xr:uid="{00000000-0005-0000-0000-0000C31D0000}"/>
    <cellStyle name="Separador de milhares 10 3 2_Estoque Atual" xfId="7620" xr:uid="{00000000-0005-0000-0000-0000C41D0000}"/>
    <cellStyle name="Separador de milhares 10 3 3" xfId="7621" xr:uid="{00000000-0005-0000-0000-0000C51D0000}"/>
    <cellStyle name="Separador de milhares 10 3 3 2" xfId="7622" xr:uid="{00000000-0005-0000-0000-0000C61D0000}"/>
    <cellStyle name="Separador de milhares 10 3 3 2 2" xfId="7623" xr:uid="{00000000-0005-0000-0000-0000C71D0000}"/>
    <cellStyle name="Separador de milhares 10 3 3 2_Estoque Atual" xfId="7624" xr:uid="{00000000-0005-0000-0000-0000C81D0000}"/>
    <cellStyle name="Separador de milhares 10 3 3 3" xfId="7625" xr:uid="{00000000-0005-0000-0000-0000C91D0000}"/>
    <cellStyle name="Separador de milhares 10 3 3 3 2" xfId="7626" xr:uid="{00000000-0005-0000-0000-0000CA1D0000}"/>
    <cellStyle name="Separador de milhares 10 3 3 3_Estoque Atual" xfId="7627" xr:uid="{00000000-0005-0000-0000-0000CB1D0000}"/>
    <cellStyle name="Separador de milhares 10 3 3 4" xfId="7628" xr:uid="{00000000-0005-0000-0000-0000CC1D0000}"/>
    <cellStyle name="Separador de milhares 10 3 3_Estoque Atual" xfId="7629" xr:uid="{00000000-0005-0000-0000-0000CD1D0000}"/>
    <cellStyle name="Separador de milhares 10 3 4" xfId="7630" xr:uid="{00000000-0005-0000-0000-0000CE1D0000}"/>
    <cellStyle name="Separador de milhares 10 3 4 2" xfId="7631" xr:uid="{00000000-0005-0000-0000-0000CF1D0000}"/>
    <cellStyle name="Separador de milhares 10 3 4_Estoque Atual" xfId="7632" xr:uid="{00000000-0005-0000-0000-0000D01D0000}"/>
    <cellStyle name="Separador de milhares 10 3 5" xfId="7633" xr:uid="{00000000-0005-0000-0000-0000D11D0000}"/>
    <cellStyle name="Separador de milhares 10 3 5 2" xfId="7634" xr:uid="{00000000-0005-0000-0000-0000D21D0000}"/>
    <cellStyle name="Separador de milhares 10 3 5_Estoque Atual" xfId="7635" xr:uid="{00000000-0005-0000-0000-0000D31D0000}"/>
    <cellStyle name="Separador de milhares 10 3 6" xfId="7636" xr:uid="{00000000-0005-0000-0000-0000D41D0000}"/>
    <cellStyle name="Separador de milhares 10 3_Estoque Atual" xfId="7637" xr:uid="{00000000-0005-0000-0000-0000D51D0000}"/>
    <cellStyle name="Separador de milhares 10 4" xfId="7638" xr:uid="{00000000-0005-0000-0000-0000D61D0000}"/>
    <cellStyle name="Separador de milhares 10 4 2" xfId="7639" xr:uid="{00000000-0005-0000-0000-0000D71D0000}"/>
    <cellStyle name="Separador de milhares 10 4 2 2" xfId="7640" xr:uid="{00000000-0005-0000-0000-0000D81D0000}"/>
    <cellStyle name="Separador de milhares 10 4 2 2 2" xfId="7641" xr:uid="{00000000-0005-0000-0000-0000D91D0000}"/>
    <cellStyle name="Separador de milhares 10 4 2 2_Estoque Atual" xfId="7642" xr:uid="{00000000-0005-0000-0000-0000DA1D0000}"/>
    <cellStyle name="Separador de milhares 10 4 2 3" xfId="7643" xr:uid="{00000000-0005-0000-0000-0000DB1D0000}"/>
    <cellStyle name="Separador de milhares 10 4 2 3 2" xfId="7644" xr:uid="{00000000-0005-0000-0000-0000DC1D0000}"/>
    <cellStyle name="Separador de milhares 10 4 2 3_Estoque Atual" xfId="7645" xr:uid="{00000000-0005-0000-0000-0000DD1D0000}"/>
    <cellStyle name="Separador de milhares 10 4 2 4" xfId="7646" xr:uid="{00000000-0005-0000-0000-0000DE1D0000}"/>
    <cellStyle name="Separador de milhares 10 4 2_Estoque Atual" xfId="7647" xr:uid="{00000000-0005-0000-0000-0000DF1D0000}"/>
    <cellStyle name="Separador de milhares 10 4 3" xfId="7648" xr:uid="{00000000-0005-0000-0000-0000E01D0000}"/>
    <cellStyle name="Separador de milhares 10 4 3 2" xfId="7649" xr:uid="{00000000-0005-0000-0000-0000E11D0000}"/>
    <cellStyle name="Separador de milhares 10 4 3 2 2" xfId="7650" xr:uid="{00000000-0005-0000-0000-0000E21D0000}"/>
    <cellStyle name="Separador de milhares 10 4 3 2_Estoque Atual" xfId="7651" xr:uid="{00000000-0005-0000-0000-0000E31D0000}"/>
    <cellStyle name="Separador de milhares 10 4 3 3" xfId="7652" xr:uid="{00000000-0005-0000-0000-0000E41D0000}"/>
    <cellStyle name="Separador de milhares 10 4 3 3 2" xfId="7653" xr:uid="{00000000-0005-0000-0000-0000E51D0000}"/>
    <cellStyle name="Separador de milhares 10 4 3 3_Estoque Atual" xfId="7654" xr:uid="{00000000-0005-0000-0000-0000E61D0000}"/>
    <cellStyle name="Separador de milhares 10 4 3 4" xfId="7655" xr:uid="{00000000-0005-0000-0000-0000E71D0000}"/>
    <cellStyle name="Separador de milhares 10 4 3_Estoque Atual" xfId="7656" xr:uid="{00000000-0005-0000-0000-0000E81D0000}"/>
    <cellStyle name="Separador de milhares 10 4 4" xfId="7657" xr:uid="{00000000-0005-0000-0000-0000E91D0000}"/>
    <cellStyle name="Separador de milhares 10 4 4 2" xfId="7658" xr:uid="{00000000-0005-0000-0000-0000EA1D0000}"/>
    <cellStyle name="Separador de milhares 10 4 4_Estoque Atual" xfId="7659" xr:uid="{00000000-0005-0000-0000-0000EB1D0000}"/>
    <cellStyle name="Separador de milhares 10 4 5" xfId="7660" xr:uid="{00000000-0005-0000-0000-0000EC1D0000}"/>
    <cellStyle name="Separador de milhares 10 4 5 2" xfId="7661" xr:uid="{00000000-0005-0000-0000-0000ED1D0000}"/>
    <cellStyle name="Separador de milhares 10 4 5_Estoque Atual" xfId="7662" xr:uid="{00000000-0005-0000-0000-0000EE1D0000}"/>
    <cellStyle name="Separador de milhares 10 4 6" xfId="7663" xr:uid="{00000000-0005-0000-0000-0000EF1D0000}"/>
    <cellStyle name="Separador de milhares 10 4_Estoque Atual" xfId="7664" xr:uid="{00000000-0005-0000-0000-0000F01D0000}"/>
    <cellStyle name="Separador de milhares 10 5" xfId="7665" xr:uid="{00000000-0005-0000-0000-0000F11D0000}"/>
    <cellStyle name="Separador de milhares 10 5 2" xfId="7666" xr:uid="{00000000-0005-0000-0000-0000F21D0000}"/>
    <cellStyle name="Separador de milhares 10 5 2 2" xfId="7667" xr:uid="{00000000-0005-0000-0000-0000F31D0000}"/>
    <cellStyle name="Separador de milhares 10 5 2 2 2" xfId="7668" xr:uid="{00000000-0005-0000-0000-0000F41D0000}"/>
    <cellStyle name="Separador de milhares 10 5 2 2_Estoque Atual" xfId="7669" xr:uid="{00000000-0005-0000-0000-0000F51D0000}"/>
    <cellStyle name="Separador de milhares 10 5 2 3" xfId="7670" xr:uid="{00000000-0005-0000-0000-0000F61D0000}"/>
    <cellStyle name="Separador de milhares 10 5 2 3 2" xfId="7671" xr:uid="{00000000-0005-0000-0000-0000F71D0000}"/>
    <cellStyle name="Separador de milhares 10 5 2 3_Estoque Atual" xfId="7672" xr:uid="{00000000-0005-0000-0000-0000F81D0000}"/>
    <cellStyle name="Separador de milhares 10 5 2 4" xfId="7673" xr:uid="{00000000-0005-0000-0000-0000F91D0000}"/>
    <cellStyle name="Separador de milhares 10 5 2_Estoque Atual" xfId="7674" xr:uid="{00000000-0005-0000-0000-0000FA1D0000}"/>
    <cellStyle name="Separador de milhares 10 5 3" xfId="7675" xr:uid="{00000000-0005-0000-0000-0000FB1D0000}"/>
    <cellStyle name="Separador de milhares 10 5 3 2" xfId="7676" xr:uid="{00000000-0005-0000-0000-0000FC1D0000}"/>
    <cellStyle name="Separador de milhares 10 5 3 2 2" xfId="7677" xr:uid="{00000000-0005-0000-0000-0000FD1D0000}"/>
    <cellStyle name="Separador de milhares 10 5 3 2_Estoque Atual" xfId="7678" xr:uid="{00000000-0005-0000-0000-0000FE1D0000}"/>
    <cellStyle name="Separador de milhares 10 5 3 3" xfId="7679" xr:uid="{00000000-0005-0000-0000-0000FF1D0000}"/>
    <cellStyle name="Separador de milhares 10 5 3 3 2" xfId="7680" xr:uid="{00000000-0005-0000-0000-0000001E0000}"/>
    <cellStyle name="Separador de milhares 10 5 3 3_Estoque Atual" xfId="7681" xr:uid="{00000000-0005-0000-0000-0000011E0000}"/>
    <cellStyle name="Separador de milhares 10 5 3 4" xfId="7682" xr:uid="{00000000-0005-0000-0000-0000021E0000}"/>
    <cellStyle name="Separador de milhares 10 5 3_Estoque Atual" xfId="7683" xr:uid="{00000000-0005-0000-0000-0000031E0000}"/>
    <cellStyle name="Separador de milhares 10 5 4" xfId="7684" xr:uid="{00000000-0005-0000-0000-0000041E0000}"/>
    <cellStyle name="Separador de milhares 10 5 4 2" xfId="7685" xr:uid="{00000000-0005-0000-0000-0000051E0000}"/>
    <cellStyle name="Separador de milhares 10 5 4_Estoque Atual" xfId="7686" xr:uid="{00000000-0005-0000-0000-0000061E0000}"/>
    <cellStyle name="Separador de milhares 10 5 5" xfId="7687" xr:uid="{00000000-0005-0000-0000-0000071E0000}"/>
    <cellStyle name="Separador de milhares 10 5 5 2" xfId="7688" xr:uid="{00000000-0005-0000-0000-0000081E0000}"/>
    <cellStyle name="Separador de milhares 10 5 5_Estoque Atual" xfId="7689" xr:uid="{00000000-0005-0000-0000-0000091E0000}"/>
    <cellStyle name="Separador de milhares 10 5 6" xfId="7690" xr:uid="{00000000-0005-0000-0000-00000A1E0000}"/>
    <cellStyle name="Separador de milhares 10 5_Estoque Atual" xfId="7691" xr:uid="{00000000-0005-0000-0000-00000B1E0000}"/>
    <cellStyle name="Separador de milhares 10 6" xfId="7692" xr:uid="{00000000-0005-0000-0000-00000C1E0000}"/>
    <cellStyle name="Separador de milhares 10 6 2" xfId="7693" xr:uid="{00000000-0005-0000-0000-00000D1E0000}"/>
    <cellStyle name="Separador de milhares 10 6 2 2" xfId="7694" xr:uid="{00000000-0005-0000-0000-00000E1E0000}"/>
    <cellStyle name="Separador de milhares 10 6 2 2 2" xfId="7695" xr:uid="{00000000-0005-0000-0000-00000F1E0000}"/>
    <cellStyle name="Separador de milhares 10 6 2 2_Estoque Atual" xfId="7696" xr:uid="{00000000-0005-0000-0000-0000101E0000}"/>
    <cellStyle name="Separador de milhares 10 6 2 3" xfId="7697" xr:uid="{00000000-0005-0000-0000-0000111E0000}"/>
    <cellStyle name="Separador de milhares 10 6 2 3 2" xfId="7698" xr:uid="{00000000-0005-0000-0000-0000121E0000}"/>
    <cellStyle name="Separador de milhares 10 6 2 3_Estoque Atual" xfId="7699" xr:uid="{00000000-0005-0000-0000-0000131E0000}"/>
    <cellStyle name="Separador de milhares 10 6 2 4" xfId="7700" xr:uid="{00000000-0005-0000-0000-0000141E0000}"/>
    <cellStyle name="Separador de milhares 10 6 2_Estoque Atual" xfId="7701" xr:uid="{00000000-0005-0000-0000-0000151E0000}"/>
    <cellStyle name="Separador de milhares 10 6 3" xfId="7702" xr:uid="{00000000-0005-0000-0000-0000161E0000}"/>
    <cellStyle name="Separador de milhares 10 6 3 2" xfId="7703" xr:uid="{00000000-0005-0000-0000-0000171E0000}"/>
    <cellStyle name="Separador de milhares 10 6 3 2 2" xfId="7704" xr:uid="{00000000-0005-0000-0000-0000181E0000}"/>
    <cellStyle name="Separador de milhares 10 6 3 2_Estoque Atual" xfId="7705" xr:uid="{00000000-0005-0000-0000-0000191E0000}"/>
    <cellStyle name="Separador de milhares 10 6 3 3" xfId="7706" xr:uid="{00000000-0005-0000-0000-00001A1E0000}"/>
    <cellStyle name="Separador de milhares 10 6 3 3 2" xfId="7707" xr:uid="{00000000-0005-0000-0000-00001B1E0000}"/>
    <cellStyle name="Separador de milhares 10 6 3 3_Estoque Atual" xfId="7708" xr:uid="{00000000-0005-0000-0000-00001C1E0000}"/>
    <cellStyle name="Separador de milhares 10 6 3 4" xfId="7709" xr:uid="{00000000-0005-0000-0000-00001D1E0000}"/>
    <cellStyle name="Separador de milhares 10 6 3_Estoque Atual" xfId="7710" xr:uid="{00000000-0005-0000-0000-00001E1E0000}"/>
    <cellStyle name="Separador de milhares 10 6 4" xfId="7711" xr:uid="{00000000-0005-0000-0000-00001F1E0000}"/>
    <cellStyle name="Separador de milhares 10 6 4 2" xfId="7712" xr:uid="{00000000-0005-0000-0000-0000201E0000}"/>
    <cellStyle name="Separador de milhares 10 6 4_Estoque Atual" xfId="7713" xr:uid="{00000000-0005-0000-0000-0000211E0000}"/>
    <cellStyle name="Separador de milhares 10 6 5" xfId="7714" xr:uid="{00000000-0005-0000-0000-0000221E0000}"/>
    <cellStyle name="Separador de milhares 10 6 5 2" xfId="7715" xr:uid="{00000000-0005-0000-0000-0000231E0000}"/>
    <cellStyle name="Separador de milhares 10 6 5_Estoque Atual" xfId="7716" xr:uid="{00000000-0005-0000-0000-0000241E0000}"/>
    <cellStyle name="Separador de milhares 10 6 6" xfId="7717" xr:uid="{00000000-0005-0000-0000-0000251E0000}"/>
    <cellStyle name="Separador de milhares 10 6_Estoque Atual" xfId="7718" xr:uid="{00000000-0005-0000-0000-0000261E0000}"/>
    <cellStyle name="Separador de milhares 10 7" xfId="7719" xr:uid="{00000000-0005-0000-0000-0000271E0000}"/>
    <cellStyle name="Separador de milhares 10 7 2" xfId="7720" xr:uid="{00000000-0005-0000-0000-0000281E0000}"/>
    <cellStyle name="Separador de milhares 10 7 2 2" xfId="7721" xr:uid="{00000000-0005-0000-0000-0000291E0000}"/>
    <cellStyle name="Separador de milhares 10 7 2_Estoque Atual" xfId="7722" xr:uid="{00000000-0005-0000-0000-00002A1E0000}"/>
    <cellStyle name="Separador de milhares 10 7 3" xfId="7723" xr:uid="{00000000-0005-0000-0000-00002B1E0000}"/>
    <cellStyle name="Separador de milhares 10 7 3 2" xfId="7724" xr:uid="{00000000-0005-0000-0000-00002C1E0000}"/>
    <cellStyle name="Separador de milhares 10 7 3_Estoque Atual" xfId="7725" xr:uid="{00000000-0005-0000-0000-00002D1E0000}"/>
    <cellStyle name="Separador de milhares 10 7 4" xfId="7726" xr:uid="{00000000-0005-0000-0000-00002E1E0000}"/>
    <cellStyle name="Separador de milhares 10 7_Estoque Atual" xfId="7727" xr:uid="{00000000-0005-0000-0000-00002F1E0000}"/>
    <cellStyle name="Separador de milhares 10 8" xfId="7728" xr:uid="{00000000-0005-0000-0000-0000301E0000}"/>
    <cellStyle name="Separador de milhares 10 8 2" xfId="7729" xr:uid="{00000000-0005-0000-0000-0000311E0000}"/>
    <cellStyle name="Separador de milhares 10 8 2 2" xfId="7730" xr:uid="{00000000-0005-0000-0000-0000321E0000}"/>
    <cellStyle name="Separador de milhares 10 8 2_Estoque Atual" xfId="7731" xr:uid="{00000000-0005-0000-0000-0000331E0000}"/>
    <cellStyle name="Separador de milhares 10 8 3" xfId="7732" xr:uid="{00000000-0005-0000-0000-0000341E0000}"/>
    <cellStyle name="Separador de milhares 10 8 3 2" xfId="7733" xr:uid="{00000000-0005-0000-0000-0000351E0000}"/>
    <cellStyle name="Separador de milhares 10 8 3_Estoque Atual" xfId="7734" xr:uid="{00000000-0005-0000-0000-0000361E0000}"/>
    <cellStyle name="Separador de milhares 10 8 4" xfId="7735" xr:uid="{00000000-0005-0000-0000-0000371E0000}"/>
    <cellStyle name="Separador de milhares 10 8_Estoque Atual" xfId="7736" xr:uid="{00000000-0005-0000-0000-0000381E0000}"/>
    <cellStyle name="Separador de milhares 10 9" xfId="7737" xr:uid="{00000000-0005-0000-0000-0000391E0000}"/>
    <cellStyle name="Separador de milhares 10 9 2" xfId="7738" xr:uid="{00000000-0005-0000-0000-00003A1E0000}"/>
    <cellStyle name="Separador de milhares 10 9_Estoque Atual" xfId="7739" xr:uid="{00000000-0005-0000-0000-00003B1E0000}"/>
    <cellStyle name="Separador de milhares 10_Estoque Atual" xfId="7740" xr:uid="{00000000-0005-0000-0000-00003C1E0000}"/>
    <cellStyle name="Separador de milhares 11" xfId="7741" xr:uid="{00000000-0005-0000-0000-00003D1E0000}"/>
    <cellStyle name="Separador de milhares 11 2" xfId="7742" xr:uid="{00000000-0005-0000-0000-00003E1E0000}"/>
    <cellStyle name="Separador de milhares 11_Estoque Atual" xfId="7743" xr:uid="{00000000-0005-0000-0000-00003F1E0000}"/>
    <cellStyle name="Separador de milhares 12" xfId="7744" xr:uid="{00000000-0005-0000-0000-0000401E0000}"/>
    <cellStyle name="Separador de milhares 12 2" xfId="7745" xr:uid="{00000000-0005-0000-0000-0000411E0000}"/>
    <cellStyle name="Separador de milhares 12_Estoque Atual" xfId="7746" xr:uid="{00000000-0005-0000-0000-0000421E0000}"/>
    <cellStyle name="Separador de milhares 13" xfId="7747" xr:uid="{00000000-0005-0000-0000-0000431E0000}"/>
    <cellStyle name="Separador de milhares 13 2" xfId="7748" xr:uid="{00000000-0005-0000-0000-0000441E0000}"/>
    <cellStyle name="Separador de milhares 13 2 2" xfId="7749" xr:uid="{00000000-0005-0000-0000-0000451E0000}"/>
    <cellStyle name="Separador de milhares 13 2 2 2" xfId="7750" xr:uid="{00000000-0005-0000-0000-0000461E0000}"/>
    <cellStyle name="Separador de milhares 13 2 2_Estoque Atual" xfId="7751" xr:uid="{00000000-0005-0000-0000-0000471E0000}"/>
    <cellStyle name="Separador de milhares 13 2 3" xfId="7752" xr:uid="{00000000-0005-0000-0000-0000481E0000}"/>
    <cellStyle name="Separador de milhares 13 2 3 2" xfId="7753" xr:uid="{00000000-0005-0000-0000-0000491E0000}"/>
    <cellStyle name="Separador de milhares 13 2 3_Estoque Atual" xfId="7754" xr:uid="{00000000-0005-0000-0000-00004A1E0000}"/>
    <cellStyle name="Separador de milhares 13 2 4" xfId="7755" xr:uid="{00000000-0005-0000-0000-00004B1E0000}"/>
    <cellStyle name="Separador de milhares 13 2_Estoque Atual" xfId="7756" xr:uid="{00000000-0005-0000-0000-00004C1E0000}"/>
    <cellStyle name="Separador de milhares 13 3" xfId="7757" xr:uid="{00000000-0005-0000-0000-00004D1E0000}"/>
    <cellStyle name="Separador de milhares 13 3 2" xfId="7758" xr:uid="{00000000-0005-0000-0000-00004E1E0000}"/>
    <cellStyle name="Separador de milhares 13 3 2 2" xfId="7759" xr:uid="{00000000-0005-0000-0000-00004F1E0000}"/>
    <cellStyle name="Separador de milhares 13 3 2_Estoque Atual" xfId="7760" xr:uid="{00000000-0005-0000-0000-0000501E0000}"/>
    <cellStyle name="Separador de milhares 13 3 3" xfId="7761" xr:uid="{00000000-0005-0000-0000-0000511E0000}"/>
    <cellStyle name="Separador de milhares 13 3 3 2" xfId="7762" xr:uid="{00000000-0005-0000-0000-0000521E0000}"/>
    <cellStyle name="Separador de milhares 13 3 3_Estoque Atual" xfId="7763" xr:uid="{00000000-0005-0000-0000-0000531E0000}"/>
    <cellStyle name="Separador de milhares 13 3 4" xfId="7764" xr:uid="{00000000-0005-0000-0000-0000541E0000}"/>
    <cellStyle name="Separador de milhares 13 3_Estoque Atual" xfId="7765" xr:uid="{00000000-0005-0000-0000-0000551E0000}"/>
    <cellStyle name="Separador de milhares 13 4" xfId="7766" xr:uid="{00000000-0005-0000-0000-0000561E0000}"/>
    <cellStyle name="Separador de milhares 13 4 2" xfId="7767" xr:uid="{00000000-0005-0000-0000-0000571E0000}"/>
    <cellStyle name="Separador de milhares 13 4_Estoque Atual" xfId="7768" xr:uid="{00000000-0005-0000-0000-0000581E0000}"/>
    <cellStyle name="Separador de milhares 13 5" xfId="7769" xr:uid="{00000000-0005-0000-0000-0000591E0000}"/>
    <cellStyle name="Separador de milhares 13 5 2" xfId="7770" xr:uid="{00000000-0005-0000-0000-00005A1E0000}"/>
    <cellStyle name="Separador de milhares 13 5_Estoque Atual" xfId="7771" xr:uid="{00000000-0005-0000-0000-00005B1E0000}"/>
    <cellStyle name="Separador de milhares 13 6" xfId="7772" xr:uid="{00000000-0005-0000-0000-00005C1E0000}"/>
    <cellStyle name="Separador de milhares 13_Estoque Atual" xfId="7773" xr:uid="{00000000-0005-0000-0000-00005D1E0000}"/>
    <cellStyle name="Separador de milhares 14" xfId="7774" xr:uid="{00000000-0005-0000-0000-00005E1E0000}"/>
    <cellStyle name="Separador de milhares 15" xfId="7775" xr:uid="{00000000-0005-0000-0000-00005F1E0000}"/>
    <cellStyle name="Separador de milhares 16" xfId="7776" xr:uid="{00000000-0005-0000-0000-0000601E0000}"/>
    <cellStyle name="Separador de milhares 17" xfId="7777" xr:uid="{00000000-0005-0000-0000-0000611E0000}"/>
    <cellStyle name="Separador de milhares 17 2" xfId="7778" xr:uid="{00000000-0005-0000-0000-0000621E0000}"/>
    <cellStyle name="Separador de milhares 17_Estoque Atual" xfId="7779" xr:uid="{00000000-0005-0000-0000-0000631E0000}"/>
    <cellStyle name="Separador de milhares 18" xfId="7780" xr:uid="{00000000-0005-0000-0000-0000641E0000}"/>
    <cellStyle name="Separador de milhares 18 2" xfId="7781" xr:uid="{00000000-0005-0000-0000-0000651E0000}"/>
    <cellStyle name="Separador de milhares 18_Estoque Atual" xfId="7782" xr:uid="{00000000-0005-0000-0000-0000661E0000}"/>
    <cellStyle name="Separador de milhares 19" xfId="7783" xr:uid="{00000000-0005-0000-0000-0000671E0000}"/>
    <cellStyle name="Separador de milhares 19 2" xfId="7784" xr:uid="{00000000-0005-0000-0000-0000681E0000}"/>
    <cellStyle name="Separador de milhares 19_Estoque Atual" xfId="7785" xr:uid="{00000000-0005-0000-0000-0000691E0000}"/>
    <cellStyle name="Separador de milhares 2" xfId="7786" xr:uid="{00000000-0005-0000-0000-00006A1E0000}"/>
    <cellStyle name="Separador de milhares 2 10" xfId="7787" xr:uid="{00000000-0005-0000-0000-00006B1E0000}"/>
    <cellStyle name="Separador de milhares 2 10 2" xfId="7788" xr:uid="{00000000-0005-0000-0000-00006C1E0000}"/>
    <cellStyle name="Separador de milhares 2 10_Estoque Atual" xfId="7789" xr:uid="{00000000-0005-0000-0000-00006D1E0000}"/>
    <cellStyle name="Separador de milhares 2 11" xfId="7790" xr:uid="{00000000-0005-0000-0000-00006E1E0000}"/>
    <cellStyle name="Separador de milhares 2 11 2" xfId="7791" xr:uid="{00000000-0005-0000-0000-00006F1E0000}"/>
    <cellStyle name="Separador de milhares 2 11_Estoque Atual" xfId="7792" xr:uid="{00000000-0005-0000-0000-0000701E0000}"/>
    <cellStyle name="Separador de milhares 2 12" xfId="7793" xr:uid="{00000000-0005-0000-0000-0000711E0000}"/>
    <cellStyle name="Separador de milhares 2 12 2" xfId="7794" xr:uid="{00000000-0005-0000-0000-0000721E0000}"/>
    <cellStyle name="Separador de milhares 2 12_Estoque Atual" xfId="7795" xr:uid="{00000000-0005-0000-0000-0000731E0000}"/>
    <cellStyle name="Separador de milhares 2 13" xfId="7796" xr:uid="{00000000-0005-0000-0000-0000741E0000}"/>
    <cellStyle name="Separador de milhares 2 13 2" xfId="7797" xr:uid="{00000000-0005-0000-0000-0000751E0000}"/>
    <cellStyle name="Separador de milhares 2 13_Estoque Atual" xfId="7798" xr:uid="{00000000-0005-0000-0000-0000761E0000}"/>
    <cellStyle name="Separador de milhares 2 14" xfId="7799" xr:uid="{00000000-0005-0000-0000-0000771E0000}"/>
    <cellStyle name="Separador de milhares 2 14 2" xfId="7800" xr:uid="{00000000-0005-0000-0000-0000781E0000}"/>
    <cellStyle name="Separador de milhares 2 14_Estoque Atual" xfId="7801" xr:uid="{00000000-0005-0000-0000-0000791E0000}"/>
    <cellStyle name="Separador de milhares 2 15" xfId="7802" xr:uid="{00000000-0005-0000-0000-00007A1E0000}"/>
    <cellStyle name="Separador de milhares 2 15 2" xfId="7803" xr:uid="{00000000-0005-0000-0000-00007B1E0000}"/>
    <cellStyle name="Separador de milhares 2 15_Estoque Atual" xfId="7804" xr:uid="{00000000-0005-0000-0000-00007C1E0000}"/>
    <cellStyle name="Separador de milhares 2 16" xfId="7805" xr:uid="{00000000-0005-0000-0000-00007D1E0000}"/>
    <cellStyle name="Separador de milhares 2 16 2" xfId="7806" xr:uid="{00000000-0005-0000-0000-00007E1E0000}"/>
    <cellStyle name="Separador de milhares 2 16_Estoque Atual" xfId="7807" xr:uid="{00000000-0005-0000-0000-00007F1E0000}"/>
    <cellStyle name="Separador de milhares 2 17" xfId="7808" xr:uid="{00000000-0005-0000-0000-0000801E0000}"/>
    <cellStyle name="Separador de milhares 2 17 2" xfId="7809" xr:uid="{00000000-0005-0000-0000-0000811E0000}"/>
    <cellStyle name="Separador de milhares 2 17_Estoque Atual" xfId="7810" xr:uid="{00000000-0005-0000-0000-0000821E0000}"/>
    <cellStyle name="Separador de milhares 2 18" xfId="7811" xr:uid="{00000000-0005-0000-0000-0000831E0000}"/>
    <cellStyle name="Separador de milhares 2 18 2" xfId="7812" xr:uid="{00000000-0005-0000-0000-0000841E0000}"/>
    <cellStyle name="Separador de milhares 2 18_Estoque Atual" xfId="7813" xr:uid="{00000000-0005-0000-0000-0000851E0000}"/>
    <cellStyle name="Separador de milhares 2 19" xfId="7814" xr:uid="{00000000-0005-0000-0000-0000861E0000}"/>
    <cellStyle name="Separador de milhares 2 2" xfId="7815" xr:uid="{00000000-0005-0000-0000-0000871E0000}"/>
    <cellStyle name="Separador de milhares 2 2 10" xfId="7816" xr:uid="{00000000-0005-0000-0000-0000881E0000}"/>
    <cellStyle name="Separador de milhares 2 2 11" xfId="7817" xr:uid="{00000000-0005-0000-0000-0000891E0000}"/>
    <cellStyle name="Separador de milhares 2 2 12" xfId="7818" xr:uid="{00000000-0005-0000-0000-00008A1E0000}"/>
    <cellStyle name="Separador de milhares 2 2 13" xfId="7819" xr:uid="{00000000-0005-0000-0000-00008B1E0000}"/>
    <cellStyle name="Separador de milhares 2 2 13 2" xfId="7820" xr:uid="{00000000-0005-0000-0000-00008C1E0000}"/>
    <cellStyle name="Separador de milhares 2 2 2" xfId="7821" xr:uid="{00000000-0005-0000-0000-00008D1E0000}"/>
    <cellStyle name="Separador de milhares 2 2 2 10" xfId="7822" xr:uid="{00000000-0005-0000-0000-00008E1E0000}"/>
    <cellStyle name="Separador de milhares 2 2 2 11" xfId="7823" xr:uid="{00000000-0005-0000-0000-00008F1E0000}"/>
    <cellStyle name="Separador de milhares 2 2 2 12" xfId="7824" xr:uid="{00000000-0005-0000-0000-0000901E0000}"/>
    <cellStyle name="Separador de milhares 2 2 2 13" xfId="7825" xr:uid="{00000000-0005-0000-0000-0000911E0000}"/>
    <cellStyle name="Separador de milhares 2 2 2 14" xfId="7826" xr:uid="{00000000-0005-0000-0000-0000921E0000}"/>
    <cellStyle name="Separador de milhares 2 2 2 14 2" xfId="7827" xr:uid="{00000000-0005-0000-0000-0000931E0000}"/>
    <cellStyle name="Separador de milhares 2 2 2 2" xfId="7828" xr:uid="{00000000-0005-0000-0000-0000941E0000}"/>
    <cellStyle name="Separador de milhares 2 2 2 2 10" xfId="7829" xr:uid="{00000000-0005-0000-0000-0000951E0000}"/>
    <cellStyle name="Separador de milhares 2 2 2 2 10 2" xfId="7830" xr:uid="{00000000-0005-0000-0000-0000961E0000}"/>
    <cellStyle name="Separador de milhares 2 2 2 2 2" xfId="7831" xr:uid="{00000000-0005-0000-0000-0000971E0000}"/>
    <cellStyle name="Separador de milhares 2 2 2 2 2 2" xfId="7832" xr:uid="{00000000-0005-0000-0000-0000981E0000}"/>
    <cellStyle name="Separador de milhares 2 2 2 2 2 2 2" xfId="7833" xr:uid="{00000000-0005-0000-0000-0000991E0000}"/>
    <cellStyle name="Separador de milhares 2 2 2 2 2 2 2 2" xfId="7834" xr:uid="{00000000-0005-0000-0000-00009A1E0000}"/>
    <cellStyle name="Separador de milhares 2 2 2 2 2 2 2 2 2" xfId="7835" xr:uid="{00000000-0005-0000-0000-00009B1E0000}"/>
    <cellStyle name="Separador de milhares 2 2 2 2 2 2 2 2 2 2" xfId="7836" xr:uid="{00000000-0005-0000-0000-00009C1E0000}"/>
    <cellStyle name="Separador de milhares 2 2 2 2 2 2 2 2 2 2 2" xfId="7837" xr:uid="{00000000-0005-0000-0000-00009D1E0000}"/>
    <cellStyle name="Separador de milhares 2 2 2 2 2 2 2 2 2 3" xfId="7838" xr:uid="{00000000-0005-0000-0000-00009E1E0000}"/>
    <cellStyle name="Separador de milhares 2 2 2 2 2 2 2 2 3" xfId="7839" xr:uid="{00000000-0005-0000-0000-00009F1E0000}"/>
    <cellStyle name="Separador de milhares 2 2 2 2 2 2 2 2 3 2" xfId="7840" xr:uid="{00000000-0005-0000-0000-0000A01E0000}"/>
    <cellStyle name="Separador de milhares 2 2 2 2 2 2 2 3" xfId="7841" xr:uid="{00000000-0005-0000-0000-0000A11E0000}"/>
    <cellStyle name="Separador de milhares 2 2 2 2 2 2 2 4" xfId="7842" xr:uid="{00000000-0005-0000-0000-0000A21E0000}"/>
    <cellStyle name="Separador de milhares 2 2 2 2 2 2 2 4 2" xfId="7843" xr:uid="{00000000-0005-0000-0000-0000A31E0000}"/>
    <cellStyle name="Separador de milhares 2 2 2 2 2 2 3" xfId="7844" xr:uid="{00000000-0005-0000-0000-0000A41E0000}"/>
    <cellStyle name="Separador de milhares 2 2 2 2 2 2 4" xfId="7845" xr:uid="{00000000-0005-0000-0000-0000A51E0000}"/>
    <cellStyle name="Separador de milhares 2 2 2 2 2 2 4 2" xfId="7846" xr:uid="{00000000-0005-0000-0000-0000A61E0000}"/>
    <cellStyle name="Separador de milhares 2 2 2 2 2 3" xfId="7847" xr:uid="{00000000-0005-0000-0000-0000A71E0000}"/>
    <cellStyle name="Separador de milhares 2 2 2 2 2 4" xfId="7848" xr:uid="{00000000-0005-0000-0000-0000A81E0000}"/>
    <cellStyle name="Separador de milhares 2 2 2 2 2 5" xfId="7849" xr:uid="{00000000-0005-0000-0000-0000A91E0000}"/>
    <cellStyle name="Separador de milhares 2 2 2 2 2 6" xfId="7850" xr:uid="{00000000-0005-0000-0000-0000AA1E0000}"/>
    <cellStyle name="Separador de milhares 2 2 2 2 2 7" xfId="7851" xr:uid="{00000000-0005-0000-0000-0000AB1E0000}"/>
    <cellStyle name="Separador de milhares 2 2 2 2 2 8" xfId="7852" xr:uid="{00000000-0005-0000-0000-0000AC1E0000}"/>
    <cellStyle name="Separador de milhares 2 2 2 2 2 9" xfId="7853" xr:uid="{00000000-0005-0000-0000-0000AD1E0000}"/>
    <cellStyle name="Separador de milhares 2 2 2 2 2 9 2" xfId="7854" xr:uid="{00000000-0005-0000-0000-0000AE1E0000}"/>
    <cellStyle name="Separador de milhares 2 2 2 2 3" xfId="7855" xr:uid="{00000000-0005-0000-0000-0000AF1E0000}"/>
    <cellStyle name="Separador de milhares 2 2 2 2 4" xfId="7856" xr:uid="{00000000-0005-0000-0000-0000B01E0000}"/>
    <cellStyle name="Separador de milhares 2 2 2 2 5" xfId="7857" xr:uid="{00000000-0005-0000-0000-0000B11E0000}"/>
    <cellStyle name="Separador de milhares 2 2 2 2 6" xfId="7858" xr:uid="{00000000-0005-0000-0000-0000B21E0000}"/>
    <cellStyle name="Separador de milhares 2 2 2 2 7" xfId="7859" xr:uid="{00000000-0005-0000-0000-0000B31E0000}"/>
    <cellStyle name="Separador de milhares 2 2 2 2 8" xfId="7860" xr:uid="{00000000-0005-0000-0000-0000B41E0000}"/>
    <cellStyle name="Separador de milhares 2 2 2 2 9" xfId="7861" xr:uid="{00000000-0005-0000-0000-0000B51E0000}"/>
    <cellStyle name="Separador de milhares 2 2 2 2_Estoque Atual" xfId="7862" xr:uid="{00000000-0005-0000-0000-0000B61E0000}"/>
    <cellStyle name="Separador de milhares 2 2 2 3" xfId="7863" xr:uid="{00000000-0005-0000-0000-0000B71E0000}"/>
    <cellStyle name="Separador de milhares 2 2 2 3 2" xfId="7864" xr:uid="{00000000-0005-0000-0000-0000B81E0000}"/>
    <cellStyle name="Separador de milhares 2 2 2 3_Estoque Atual" xfId="7865" xr:uid="{00000000-0005-0000-0000-0000B91E0000}"/>
    <cellStyle name="Separador de milhares 2 2 2 4" xfId="7866" xr:uid="{00000000-0005-0000-0000-0000BA1E0000}"/>
    <cellStyle name="Separador de milhares 2 2 2 5" xfId="7867" xr:uid="{00000000-0005-0000-0000-0000BB1E0000}"/>
    <cellStyle name="Separador de milhares 2 2 2 6" xfId="7868" xr:uid="{00000000-0005-0000-0000-0000BC1E0000}"/>
    <cellStyle name="Separador de milhares 2 2 2 7" xfId="7869" xr:uid="{00000000-0005-0000-0000-0000BD1E0000}"/>
    <cellStyle name="Separador de milhares 2 2 2 8" xfId="7870" xr:uid="{00000000-0005-0000-0000-0000BE1E0000}"/>
    <cellStyle name="Separador de milhares 2 2 2 9" xfId="7871" xr:uid="{00000000-0005-0000-0000-0000BF1E0000}"/>
    <cellStyle name="Separador de milhares 2 2 2_Estoque Atual" xfId="7872" xr:uid="{00000000-0005-0000-0000-0000C01E0000}"/>
    <cellStyle name="Separador de milhares 2 2 3" xfId="7873" xr:uid="{00000000-0005-0000-0000-0000C11E0000}"/>
    <cellStyle name="Separador de milhares 2 2 3 2" xfId="7874" xr:uid="{00000000-0005-0000-0000-0000C21E0000}"/>
    <cellStyle name="Separador de milhares 2 2 3 3" xfId="7875" xr:uid="{00000000-0005-0000-0000-0000C31E0000}"/>
    <cellStyle name="Separador de milhares 2 2 3_Estoque Atual" xfId="7876" xr:uid="{00000000-0005-0000-0000-0000C41E0000}"/>
    <cellStyle name="Separador de milhares 2 2 4" xfId="7877" xr:uid="{00000000-0005-0000-0000-0000C51E0000}"/>
    <cellStyle name="Separador de milhares 2 2 4 2" xfId="7878" xr:uid="{00000000-0005-0000-0000-0000C61E0000}"/>
    <cellStyle name="Separador de milhares 2 2 5" xfId="7879" xr:uid="{00000000-0005-0000-0000-0000C71E0000}"/>
    <cellStyle name="Separador de milhares 2 2 6" xfId="7880" xr:uid="{00000000-0005-0000-0000-0000C81E0000}"/>
    <cellStyle name="Separador de milhares 2 2 7" xfId="7881" xr:uid="{00000000-0005-0000-0000-0000C91E0000}"/>
    <cellStyle name="Separador de milhares 2 2 8" xfId="7882" xr:uid="{00000000-0005-0000-0000-0000CA1E0000}"/>
    <cellStyle name="Separador de milhares 2 2 9" xfId="7883" xr:uid="{00000000-0005-0000-0000-0000CB1E0000}"/>
    <cellStyle name="Separador de milhares 2 2_Embalagens_Consumo" xfId="7884" xr:uid="{00000000-0005-0000-0000-0000CC1E0000}"/>
    <cellStyle name="Separador de milhares 2 20" xfId="7885" xr:uid="{00000000-0005-0000-0000-0000CD1E0000}"/>
    <cellStyle name="Separador de milhares 2 21" xfId="7886" xr:uid="{00000000-0005-0000-0000-0000CE1E0000}"/>
    <cellStyle name="Separador de milhares 2 22" xfId="7887" xr:uid="{00000000-0005-0000-0000-0000CF1E0000}"/>
    <cellStyle name="Separador de milhares 2 23" xfId="7888" xr:uid="{00000000-0005-0000-0000-0000D01E0000}"/>
    <cellStyle name="Separador de milhares 2 24" xfId="7889" xr:uid="{00000000-0005-0000-0000-0000D11E0000}"/>
    <cellStyle name="Separador de milhares 2 25" xfId="7890" xr:uid="{00000000-0005-0000-0000-0000D21E0000}"/>
    <cellStyle name="Separador de milhares 2 26" xfId="7891" xr:uid="{00000000-0005-0000-0000-0000D31E0000}"/>
    <cellStyle name="Separador de milhares 2 27" xfId="7892" xr:uid="{00000000-0005-0000-0000-0000D41E0000}"/>
    <cellStyle name="Separador de milhares 2 28" xfId="7893" xr:uid="{00000000-0005-0000-0000-0000D51E0000}"/>
    <cellStyle name="Separador de milhares 2 29" xfId="7894" xr:uid="{00000000-0005-0000-0000-0000D61E0000}"/>
    <cellStyle name="Separador de milhares 2 29 2" xfId="7895" xr:uid="{00000000-0005-0000-0000-0000D71E0000}"/>
    <cellStyle name="Separador de milhares 2 3" xfId="7896" xr:uid="{00000000-0005-0000-0000-0000D81E0000}"/>
    <cellStyle name="Separador de milhares 2 3 2" xfId="7897" xr:uid="{00000000-0005-0000-0000-0000D91E0000}"/>
    <cellStyle name="Separador de milhares 2 3 2 2" xfId="7898" xr:uid="{00000000-0005-0000-0000-0000DA1E0000}"/>
    <cellStyle name="Separador de milhares 2 3 3" xfId="7899" xr:uid="{00000000-0005-0000-0000-0000DB1E0000}"/>
    <cellStyle name="Separador de milhares 2 3_Embalagens_Consumo" xfId="7900" xr:uid="{00000000-0005-0000-0000-0000DC1E0000}"/>
    <cellStyle name="Separador de milhares 2 30" xfId="7901" xr:uid="{00000000-0005-0000-0000-0000DD1E0000}"/>
    <cellStyle name="Separador de milhares 2 31" xfId="7902" xr:uid="{00000000-0005-0000-0000-0000DE1E0000}"/>
    <cellStyle name="Separador de milhares 2 32" xfId="7903" xr:uid="{00000000-0005-0000-0000-0000DF1E0000}"/>
    <cellStyle name="Separador de milhares 2 33" xfId="7904" xr:uid="{00000000-0005-0000-0000-0000E01E0000}"/>
    <cellStyle name="Separador de milhares 2 4" xfId="7905" xr:uid="{00000000-0005-0000-0000-0000E11E0000}"/>
    <cellStyle name="Separador de milhares 2 4 2" xfId="7906" xr:uid="{00000000-0005-0000-0000-0000E21E0000}"/>
    <cellStyle name="Separador de milhares 2 4 3" xfId="7907" xr:uid="{00000000-0005-0000-0000-0000E31E0000}"/>
    <cellStyle name="Separador de milhares 2 4_Estoque Atual" xfId="7908" xr:uid="{00000000-0005-0000-0000-0000E41E0000}"/>
    <cellStyle name="Separador de milhares 2 5" xfId="7909" xr:uid="{00000000-0005-0000-0000-0000E51E0000}"/>
    <cellStyle name="Separador de milhares 2 5 2" xfId="7910" xr:uid="{00000000-0005-0000-0000-0000E61E0000}"/>
    <cellStyle name="Separador de milhares 2 5 3" xfId="7911" xr:uid="{00000000-0005-0000-0000-0000E71E0000}"/>
    <cellStyle name="Separador de milhares 2 5_Estoque Atual" xfId="7912" xr:uid="{00000000-0005-0000-0000-0000E81E0000}"/>
    <cellStyle name="Separador de milhares 2 6" xfId="7913" xr:uid="{00000000-0005-0000-0000-0000E91E0000}"/>
    <cellStyle name="Separador de milhares 2 6 2" xfId="7914" xr:uid="{00000000-0005-0000-0000-0000EA1E0000}"/>
    <cellStyle name="Separador de milhares 2 6 3" xfId="7915" xr:uid="{00000000-0005-0000-0000-0000EB1E0000}"/>
    <cellStyle name="Separador de milhares 2 6_Estoque Atual" xfId="7916" xr:uid="{00000000-0005-0000-0000-0000EC1E0000}"/>
    <cellStyle name="Separador de milhares 2 7" xfId="7917" xr:uid="{00000000-0005-0000-0000-0000ED1E0000}"/>
    <cellStyle name="Separador de milhares 2 7 2" xfId="7918" xr:uid="{00000000-0005-0000-0000-0000EE1E0000}"/>
    <cellStyle name="Separador de milhares 2 7_Estoque Atual" xfId="7919" xr:uid="{00000000-0005-0000-0000-0000EF1E0000}"/>
    <cellStyle name="Separador de milhares 2 8" xfId="7920" xr:uid="{00000000-0005-0000-0000-0000F01E0000}"/>
    <cellStyle name="Separador de milhares 2 8 2" xfId="7921" xr:uid="{00000000-0005-0000-0000-0000F11E0000}"/>
    <cellStyle name="Separador de milhares 2 8_Estoque Atual" xfId="7922" xr:uid="{00000000-0005-0000-0000-0000F21E0000}"/>
    <cellStyle name="Separador de milhares 2 9" xfId="7923" xr:uid="{00000000-0005-0000-0000-0000F31E0000}"/>
    <cellStyle name="Separador de milhares 2 9 2" xfId="7924" xr:uid="{00000000-0005-0000-0000-0000F41E0000}"/>
    <cellStyle name="Separador de milhares 2 9_Estoque Atual" xfId="7925" xr:uid="{00000000-0005-0000-0000-0000F51E0000}"/>
    <cellStyle name="Separador de milhares 2_Embalagens_Consumo" xfId="7926" xr:uid="{00000000-0005-0000-0000-0000F61E0000}"/>
    <cellStyle name="Separador de milhares 20" xfId="7927" xr:uid="{00000000-0005-0000-0000-0000F71E0000}"/>
    <cellStyle name="Separador de milhares 20 2" xfId="7928" xr:uid="{00000000-0005-0000-0000-0000F81E0000}"/>
    <cellStyle name="Separador de milhares 20_Estoque Atual" xfId="7929" xr:uid="{00000000-0005-0000-0000-0000F91E0000}"/>
    <cellStyle name="Separador de milhares 21" xfId="7930" xr:uid="{00000000-0005-0000-0000-0000FA1E0000}"/>
    <cellStyle name="Separador de milhares 21 2" xfId="7931" xr:uid="{00000000-0005-0000-0000-0000FB1E0000}"/>
    <cellStyle name="Separador de milhares 21_Estoque Atual" xfId="7932" xr:uid="{00000000-0005-0000-0000-0000FC1E0000}"/>
    <cellStyle name="Separador de milhares 22" xfId="7933" xr:uid="{00000000-0005-0000-0000-0000FD1E0000}"/>
    <cellStyle name="Separador de milhares 22 2" xfId="7934" xr:uid="{00000000-0005-0000-0000-0000FE1E0000}"/>
    <cellStyle name="Separador de milhares 22_Estoque Atual" xfId="7935" xr:uid="{00000000-0005-0000-0000-0000FF1E0000}"/>
    <cellStyle name="Separador de milhares 23" xfId="7936" xr:uid="{00000000-0005-0000-0000-0000001F0000}"/>
    <cellStyle name="Separador de milhares 23 2" xfId="7937" xr:uid="{00000000-0005-0000-0000-0000011F0000}"/>
    <cellStyle name="Separador de milhares 23_Estoque Atual" xfId="7938" xr:uid="{00000000-0005-0000-0000-0000021F0000}"/>
    <cellStyle name="Separador de milhares 24" xfId="7939" xr:uid="{00000000-0005-0000-0000-0000031F0000}"/>
    <cellStyle name="Separador de milhares 24 2" xfId="7940" xr:uid="{00000000-0005-0000-0000-0000041F0000}"/>
    <cellStyle name="Separador de milhares 24_Estoque Atual" xfId="7941" xr:uid="{00000000-0005-0000-0000-0000051F0000}"/>
    <cellStyle name="Separador de milhares 25" xfId="7942" xr:uid="{00000000-0005-0000-0000-0000061F0000}"/>
    <cellStyle name="Separador de milhares 25 2" xfId="7943" xr:uid="{00000000-0005-0000-0000-0000071F0000}"/>
    <cellStyle name="Separador de milhares 25_Estoque Atual" xfId="7944" xr:uid="{00000000-0005-0000-0000-0000081F0000}"/>
    <cellStyle name="Separador de milhares 26" xfId="7945" xr:uid="{00000000-0005-0000-0000-0000091F0000}"/>
    <cellStyle name="Separador de milhares 26 2" xfId="7946" xr:uid="{00000000-0005-0000-0000-00000A1F0000}"/>
    <cellStyle name="Separador de milhares 26_Estoque Atual" xfId="7947" xr:uid="{00000000-0005-0000-0000-00000B1F0000}"/>
    <cellStyle name="Separador de milhares 27" xfId="7948" xr:uid="{00000000-0005-0000-0000-00000C1F0000}"/>
    <cellStyle name="Separador de milhares 28" xfId="7949" xr:uid="{00000000-0005-0000-0000-00000D1F0000}"/>
    <cellStyle name="Separador de milhares 28 2" xfId="7950" xr:uid="{00000000-0005-0000-0000-00000E1F0000}"/>
    <cellStyle name="Separador de milhares 28_Estoque Atual" xfId="7951" xr:uid="{00000000-0005-0000-0000-00000F1F0000}"/>
    <cellStyle name="Separador de milhares 29" xfId="7952" xr:uid="{00000000-0005-0000-0000-0000101F0000}"/>
    <cellStyle name="Separador de milhares 29 2" xfId="7953" xr:uid="{00000000-0005-0000-0000-0000111F0000}"/>
    <cellStyle name="Separador de milhares 29_Estoque Atual" xfId="7954" xr:uid="{00000000-0005-0000-0000-0000121F0000}"/>
    <cellStyle name="Separador de milhares 3" xfId="7955" xr:uid="{00000000-0005-0000-0000-0000131F0000}"/>
    <cellStyle name="Separador de milhares 3 2" xfId="7956" xr:uid="{00000000-0005-0000-0000-0000141F0000}"/>
    <cellStyle name="Separador de milhares 3 2 2" xfId="7957" xr:uid="{00000000-0005-0000-0000-0000151F0000}"/>
    <cellStyle name="Separador de milhares 3 3" xfId="7958" xr:uid="{00000000-0005-0000-0000-0000161F0000}"/>
    <cellStyle name="Separador de milhares 3 3 2" xfId="7959" xr:uid="{00000000-0005-0000-0000-0000171F0000}"/>
    <cellStyle name="Separador de milhares 3 3_Estoque Atual" xfId="7960" xr:uid="{00000000-0005-0000-0000-0000181F0000}"/>
    <cellStyle name="Separador de milhares 3 4" xfId="7961" xr:uid="{00000000-0005-0000-0000-0000191F0000}"/>
    <cellStyle name="Separador de milhares 3 5" xfId="7962" xr:uid="{00000000-0005-0000-0000-00001A1F0000}"/>
    <cellStyle name="Separador de milhares 3_Embalagens_Consumo" xfId="7963" xr:uid="{00000000-0005-0000-0000-00001B1F0000}"/>
    <cellStyle name="Separador de milhares 30" xfId="7964" xr:uid="{00000000-0005-0000-0000-00001C1F0000}"/>
    <cellStyle name="Separador de milhares 30 2" xfId="7965" xr:uid="{00000000-0005-0000-0000-00001D1F0000}"/>
    <cellStyle name="Separador de milhares 30_Estoque Atual" xfId="7966" xr:uid="{00000000-0005-0000-0000-00001E1F0000}"/>
    <cellStyle name="Separador de milhares 31" xfId="7967" xr:uid="{00000000-0005-0000-0000-00001F1F0000}"/>
    <cellStyle name="Separador de milhares 31 2" xfId="7968" xr:uid="{00000000-0005-0000-0000-0000201F0000}"/>
    <cellStyle name="Separador de milhares 31_Estoque Atual" xfId="7969" xr:uid="{00000000-0005-0000-0000-0000211F0000}"/>
    <cellStyle name="Separador de milhares 32" xfId="7970" xr:uid="{00000000-0005-0000-0000-0000221F0000}"/>
    <cellStyle name="Separador de milhares 32 2" xfId="7971" xr:uid="{00000000-0005-0000-0000-0000231F0000}"/>
    <cellStyle name="Separador de milhares 33" xfId="7972" xr:uid="{00000000-0005-0000-0000-0000241F0000}"/>
    <cellStyle name="Separador de milhares 34" xfId="7973" xr:uid="{00000000-0005-0000-0000-0000251F0000}"/>
    <cellStyle name="Separador de milhares 35" xfId="7974" xr:uid="{00000000-0005-0000-0000-0000261F0000}"/>
    <cellStyle name="Separador de milhares 4" xfId="7975" xr:uid="{00000000-0005-0000-0000-0000271F0000}"/>
    <cellStyle name="Separador de milhares 4 2" xfId="7976" xr:uid="{00000000-0005-0000-0000-0000281F0000}"/>
    <cellStyle name="Separador de milhares 4 3" xfId="7977" xr:uid="{00000000-0005-0000-0000-0000291F0000}"/>
    <cellStyle name="Separador de milhares 4_Estoque Atual" xfId="7978" xr:uid="{00000000-0005-0000-0000-00002A1F0000}"/>
    <cellStyle name="Separador de milhares 5" xfId="7979" xr:uid="{00000000-0005-0000-0000-00002B1F0000}"/>
    <cellStyle name="Separador de milhares 5 2" xfId="7980" xr:uid="{00000000-0005-0000-0000-00002C1F0000}"/>
    <cellStyle name="Separador de milhares 5 3" xfId="7981" xr:uid="{00000000-0005-0000-0000-00002D1F0000}"/>
    <cellStyle name="Separador de milhares 5 4" xfId="7982" xr:uid="{00000000-0005-0000-0000-00002E1F0000}"/>
    <cellStyle name="Separador de milhares 5_Embalagens_Consumo" xfId="7983" xr:uid="{00000000-0005-0000-0000-00002F1F0000}"/>
    <cellStyle name="Separador de milhares 6" xfId="7984" xr:uid="{00000000-0005-0000-0000-0000301F0000}"/>
    <cellStyle name="Separador de milhares 6 2" xfId="7985" xr:uid="{00000000-0005-0000-0000-0000311F0000}"/>
    <cellStyle name="Separador de milhares 6 3" xfId="7986" xr:uid="{00000000-0005-0000-0000-0000321F0000}"/>
    <cellStyle name="Separador de milhares 6_Estoque Atual" xfId="7987" xr:uid="{00000000-0005-0000-0000-0000331F0000}"/>
    <cellStyle name="Separador de milhares 7" xfId="7988" xr:uid="{00000000-0005-0000-0000-0000341F0000}"/>
    <cellStyle name="Separador de milhares 7 2" xfId="7989" xr:uid="{00000000-0005-0000-0000-0000351F0000}"/>
    <cellStyle name="Separador de milhares 7 2 2" xfId="7990" xr:uid="{00000000-0005-0000-0000-0000361F0000}"/>
    <cellStyle name="Separador de milhares 7 2_Estoque Atual" xfId="7991" xr:uid="{00000000-0005-0000-0000-0000371F0000}"/>
    <cellStyle name="Separador de milhares 7 3" xfId="7992" xr:uid="{00000000-0005-0000-0000-0000381F0000}"/>
    <cellStyle name="Separador de milhares 7_Estoque Atual" xfId="7993" xr:uid="{00000000-0005-0000-0000-0000391F0000}"/>
    <cellStyle name="Separador de milhares 8" xfId="7994" xr:uid="{00000000-0005-0000-0000-00003A1F0000}"/>
    <cellStyle name="Separador de milhares 8 2" xfId="7995" xr:uid="{00000000-0005-0000-0000-00003B1F0000}"/>
    <cellStyle name="Separador de milhares 8 2 2" xfId="7996" xr:uid="{00000000-0005-0000-0000-00003C1F0000}"/>
    <cellStyle name="Separador de milhares 8 2_Estoque Atual" xfId="7997" xr:uid="{00000000-0005-0000-0000-00003D1F0000}"/>
    <cellStyle name="Separador de milhares 8 3" xfId="7998" xr:uid="{00000000-0005-0000-0000-00003E1F0000}"/>
    <cellStyle name="Separador de milhares 8_Estoque Atual" xfId="7999" xr:uid="{00000000-0005-0000-0000-00003F1F0000}"/>
    <cellStyle name="Separador de milhares 9" xfId="8000" xr:uid="{00000000-0005-0000-0000-0000401F0000}"/>
    <cellStyle name="Separador de milhares 9 2" xfId="8001" xr:uid="{00000000-0005-0000-0000-0000411F0000}"/>
    <cellStyle name="Separador de milhares 9 2 2" xfId="8002" xr:uid="{00000000-0005-0000-0000-0000421F0000}"/>
    <cellStyle name="Separador de milhares 9 2 2 2" xfId="8003" xr:uid="{00000000-0005-0000-0000-0000431F0000}"/>
    <cellStyle name="Separador de milhares 9 2 2_Estoque Atual" xfId="8004" xr:uid="{00000000-0005-0000-0000-0000441F0000}"/>
    <cellStyle name="Separador de milhares 9 2 3" xfId="8005" xr:uid="{00000000-0005-0000-0000-0000451F0000}"/>
    <cellStyle name="Separador de milhares 9 2 3 2" xfId="8006" xr:uid="{00000000-0005-0000-0000-0000461F0000}"/>
    <cellStyle name="Separador de milhares 9 2 3_Estoque Atual" xfId="8007" xr:uid="{00000000-0005-0000-0000-0000471F0000}"/>
    <cellStyle name="Separador de milhares 9 2 4" xfId="8008" xr:uid="{00000000-0005-0000-0000-0000481F0000}"/>
    <cellStyle name="Separador de milhares 9 2_Estoque Atual" xfId="8009" xr:uid="{00000000-0005-0000-0000-0000491F0000}"/>
    <cellStyle name="Separador de milhares 9 3" xfId="8010" xr:uid="{00000000-0005-0000-0000-00004A1F0000}"/>
    <cellStyle name="Separador de milhares 9 3 2" xfId="8011" xr:uid="{00000000-0005-0000-0000-00004B1F0000}"/>
    <cellStyle name="Separador de milhares 9 3 2 2" xfId="8012" xr:uid="{00000000-0005-0000-0000-00004C1F0000}"/>
    <cellStyle name="Separador de milhares 9 3 2_Estoque Atual" xfId="8013" xr:uid="{00000000-0005-0000-0000-00004D1F0000}"/>
    <cellStyle name="Separador de milhares 9 3 3" xfId="8014" xr:uid="{00000000-0005-0000-0000-00004E1F0000}"/>
    <cellStyle name="Separador de milhares 9 3 3 2" xfId="8015" xr:uid="{00000000-0005-0000-0000-00004F1F0000}"/>
    <cellStyle name="Separador de milhares 9 3 3_Estoque Atual" xfId="8016" xr:uid="{00000000-0005-0000-0000-0000501F0000}"/>
    <cellStyle name="Separador de milhares 9 3 4" xfId="8017" xr:uid="{00000000-0005-0000-0000-0000511F0000}"/>
    <cellStyle name="Separador de milhares 9 3_Estoque Atual" xfId="8018" xr:uid="{00000000-0005-0000-0000-0000521F0000}"/>
    <cellStyle name="Separador de milhares 9 4" xfId="8019" xr:uid="{00000000-0005-0000-0000-0000531F0000}"/>
    <cellStyle name="Separador de milhares 9 4 2" xfId="8020" xr:uid="{00000000-0005-0000-0000-0000541F0000}"/>
    <cellStyle name="Separador de milhares 9 4_Estoque Atual" xfId="8021" xr:uid="{00000000-0005-0000-0000-0000551F0000}"/>
    <cellStyle name="Separador de milhares 9 5" xfId="8022" xr:uid="{00000000-0005-0000-0000-0000561F0000}"/>
    <cellStyle name="Separador de milhares 9 5 2" xfId="8023" xr:uid="{00000000-0005-0000-0000-0000571F0000}"/>
    <cellStyle name="Separador de milhares 9 5_Estoque Atual" xfId="8024" xr:uid="{00000000-0005-0000-0000-0000581F0000}"/>
    <cellStyle name="Separador de milhares 9 6" xfId="8025" xr:uid="{00000000-0005-0000-0000-0000591F0000}"/>
    <cellStyle name="Separador de milhares 9_Estoque Atual" xfId="8026" xr:uid="{00000000-0005-0000-0000-00005A1F0000}"/>
    <cellStyle name="Texto de Aviso 10" xfId="8027" xr:uid="{00000000-0005-0000-0000-00005B1F0000}"/>
    <cellStyle name="Texto de Aviso 100" xfId="8028" xr:uid="{00000000-0005-0000-0000-00005C1F0000}"/>
    <cellStyle name="Texto de Aviso 101" xfId="8029" xr:uid="{00000000-0005-0000-0000-00005D1F0000}"/>
    <cellStyle name="Texto de Aviso 102" xfId="8030" xr:uid="{00000000-0005-0000-0000-00005E1F0000}"/>
    <cellStyle name="Texto de Aviso 103" xfId="8031" xr:uid="{00000000-0005-0000-0000-00005F1F0000}"/>
    <cellStyle name="Texto de Aviso 104" xfId="8032" xr:uid="{00000000-0005-0000-0000-0000601F0000}"/>
    <cellStyle name="Texto de Aviso 105" xfId="8033" xr:uid="{00000000-0005-0000-0000-0000611F0000}"/>
    <cellStyle name="Texto de Aviso 106" xfId="8034" xr:uid="{00000000-0005-0000-0000-0000621F0000}"/>
    <cellStyle name="Texto de Aviso 107" xfId="8035" xr:uid="{00000000-0005-0000-0000-0000631F0000}"/>
    <cellStyle name="Texto de Aviso 108" xfId="8036" xr:uid="{00000000-0005-0000-0000-0000641F0000}"/>
    <cellStyle name="Texto de Aviso 109" xfId="8037" xr:uid="{00000000-0005-0000-0000-0000651F0000}"/>
    <cellStyle name="Texto de Aviso 11" xfId="8038" xr:uid="{00000000-0005-0000-0000-0000661F0000}"/>
    <cellStyle name="Texto de Aviso 110" xfId="8039" xr:uid="{00000000-0005-0000-0000-0000671F0000}"/>
    <cellStyle name="Texto de Aviso 111" xfId="8040" xr:uid="{00000000-0005-0000-0000-0000681F0000}"/>
    <cellStyle name="Texto de Aviso 112" xfId="8041" xr:uid="{00000000-0005-0000-0000-0000691F0000}"/>
    <cellStyle name="Texto de Aviso 113" xfId="8042" xr:uid="{00000000-0005-0000-0000-00006A1F0000}"/>
    <cellStyle name="Texto de Aviso 114" xfId="8043" xr:uid="{00000000-0005-0000-0000-00006B1F0000}"/>
    <cellStyle name="Texto de Aviso 115" xfId="8044" xr:uid="{00000000-0005-0000-0000-00006C1F0000}"/>
    <cellStyle name="Texto de Aviso 116" xfId="8045" xr:uid="{00000000-0005-0000-0000-00006D1F0000}"/>
    <cellStyle name="Texto de Aviso 117" xfId="8046" xr:uid="{00000000-0005-0000-0000-00006E1F0000}"/>
    <cellStyle name="Texto de Aviso 118" xfId="8047" xr:uid="{00000000-0005-0000-0000-00006F1F0000}"/>
    <cellStyle name="Texto de Aviso 119" xfId="8048" xr:uid="{00000000-0005-0000-0000-0000701F0000}"/>
    <cellStyle name="Texto de Aviso 12" xfId="8049" xr:uid="{00000000-0005-0000-0000-0000711F0000}"/>
    <cellStyle name="Texto de Aviso 120" xfId="8050" xr:uid="{00000000-0005-0000-0000-0000721F0000}"/>
    <cellStyle name="Texto de Aviso 13" xfId="8051" xr:uid="{00000000-0005-0000-0000-0000731F0000}"/>
    <cellStyle name="Texto de Aviso 14" xfId="8052" xr:uid="{00000000-0005-0000-0000-0000741F0000}"/>
    <cellStyle name="Texto de Aviso 15" xfId="8053" xr:uid="{00000000-0005-0000-0000-0000751F0000}"/>
    <cellStyle name="Texto de Aviso 16" xfId="8054" xr:uid="{00000000-0005-0000-0000-0000761F0000}"/>
    <cellStyle name="Texto de Aviso 17" xfId="8055" xr:uid="{00000000-0005-0000-0000-0000771F0000}"/>
    <cellStyle name="Texto de Aviso 18" xfId="8056" xr:uid="{00000000-0005-0000-0000-0000781F0000}"/>
    <cellStyle name="Texto de Aviso 19" xfId="8057" xr:uid="{00000000-0005-0000-0000-0000791F0000}"/>
    <cellStyle name="Texto de Aviso 2" xfId="8058" xr:uid="{00000000-0005-0000-0000-00007A1F0000}"/>
    <cellStyle name="Texto de Aviso 2 2" xfId="8059" xr:uid="{00000000-0005-0000-0000-00007B1F0000}"/>
    <cellStyle name="Texto de Aviso 2 2 2" xfId="8060" xr:uid="{00000000-0005-0000-0000-00007C1F0000}"/>
    <cellStyle name="Texto de Aviso 2 2 2 2" xfId="8061" xr:uid="{00000000-0005-0000-0000-00007D1F0000}"/>
    <cellStyle name="Texto de Aviso 2 2 2 2 2" xfId="8062" xr:uid="{00000000-0005-0000-0000-00007E1F0000}"/>
    <cellStyle name="Texto de Aviso 2 2 3" xfId="8063" xr:uid="{00000000-0005-0000-0000-00007F1F0000}"/>
    <cellStyle name="Texto de Aviso 2 2 4" xfId="8064" xr:uid="{00000000-0005-0000-0000-0000801F0000}"/>
    <cellStyle name="Texto de Aviso 2 2_BD" xfId="8065" xr:uid="{00000000-0005-0000-0000-0000811F0000}"/>
    <cellStyle name="Texto de Aviso 2 3" xfId="8066" xr:uid="{00000000-0005-0000-0000-0000821F0000}"/>
    <cellStyle name="Texto de Aviso 2 4" xfId="8067" xr:uid="{00000000-0005-0000-0000-0000831F0000}"/>
    <cellStyle name="Texto de Aviso 2 5" xfId="8068" xr:uid="{00000000-0005-0000-0000-0000841F0000}"/>
    <cellStyle name="Texto de Aviso 2 6" xfId="8069" xr:uid="{00000000-0005-0000-0000-0000851F0000}"/>
    <cellStyle name="Texto de Aviso 2 6 2" xfId="8070" xr:uid="{00000000-0005-0000-0000-0000861F0000}"/>
    <cellStyle name="Texto de Aviso 2_BD" xfId="8071" xr:uid="{00000000-0005-0000-0000-0000871F0000}"/>
    <cellStyle name="Texto de Aviso 20" xfId="8072" xr:uid="{00000000-0005-0000-0000-0000881F0000}"/>
    <cellStyle name="Texto de Aviso 21" xfId="8073" xr:uid="{00000000-0005-0000-0000-0000891F0000}"/>
    <cellStyle name="Texto de Aviso 22" xfId="8074" xr:uid="{00000000-0005-0000-0000-00008A1F0000}"/>
    <cellStyle name="Texto de Aviso 23" xfId="8075" xr:uid="{00000000-0005-0000-0000-00008B1F0000}"/>
    <cellStyle name="Texto de Aviso 24" xfId="8076" xr:uid="{00000000-0005-0000-0000-00008C1F0000}"/>
    <cellStyle name="Texto de Aviso 25" xfId="8077" xr:uid="{00000000-0005-0000-0000-00008D1F0000}"/>
    <cellStyle name="Texto de Aviso 26" xfId="8078" xr:uid="{00000000-0005-0000-0000-00008E1F0000}"/>
    <cellStyle name="Texto de Aviso 27" xfId="8079" xr:uid="{00000000-0005-0000-0000-00008F1F0000}"/>
    <cellStyle name="Texto de Aviso 28" xfId="8080" xr:uid="{00000000-0005-0000-0000-0000901F0000}"/>
    <cellStyle name="Texto de Aviso 29" xfId="8081" xr:uid="{00000000-0005-0000-0000-0000911F0000}"/>
    <cellStyle name="Texto de Aviso 3" xfId="8082" xr:uid="{00000000-0005-0000-0000-0000921F0000}"/>
    <cellStyle name="Texto de Aviso 3 2" xfId="8083" xr:uid="{00000000-0005-0000-0000-0000931F0000}"/>
    <cellStyle name="Texto de Aviso 3_BD" xfId="8084" xr:uid="{00000000-0005-0000-0000-0000941F0000}"/>
    <cellStyle name="Texto de Aviso 30" xfId="8085" xr:uid="{00000000-0005-0000-0000-0000951F0000}"/>
    <cellStyle name="Texto de Aviso 31" xfId="8086" xr:uid="{00000000-0005-0000-0000-0000961F0000}"/>
    <cellStyle name="Texto de Aviso 32" xfId="8087" xr:uid="{00000000-0005-0000-0000-0000971F0000}"/>
    <cellStyle name="Texto de Aviso 33" xfId="8088" xr:uid="{00000000-0005-0000-0000-0000981F0000}"/>
    <cellStyle name="Texto de Aviso 34" xfId="8089" xr:uid="{00000000-0005-0000-0000-0000991F0000}"/>
    <cellStyle name="Texto de Aviso 35" xfId="8090" xr:uid="{00000000-0005-0000-0000-00009A1F0000}"/>
    <cellStyle name="Texto de Aviso 36" xfId="8091" xr:uid="{00000000-0005-0000-0000-00009B1F0000}"/>
    <cellStyle name="Texto de Aviso 37" xfId="8092" xr:uid="{00000000-0005-0000-0000-00009C1F0000}"/>
    <cellStyle name="Texto de Aviso 38" xfId="8093" xr:uid="{00000000-0005-0000-0000-00009D1F0000}"/>
    <cellStyle name="Texto de Aviso 39" xfId="8094" xr:uid="{00000000-0005-0000-0000-00009E1F0000}"/>
    <cellStyle name="Texto de Aviso 4" xfId="8095" xr:uid="{00000000-0005-0000-0000-00009F1F0000}"/>
    <cellStyle name="Texto de Aviso 40" xfId="8096" xr:uid="{00000000-0005-0000-0000-0000A01F0000}"/>
    <cellStyle name="Texto de Aviso 41" xfId="8097" xr:uid="{00000000-0005-0000-0000-0000A11F0000}"/>
    <cellStyle name="Texto de Aviso 42" xfId="8098" xr:uid="{00000000-0005-0000-0000-0000A21F0000}"/>
    <cellStyle name="Texto de Aviso 43" xfId="8099" xr:uid="{00000000-0005-0000-0000-0000A31F0000}"/>
    <cellStyle name="Texto de Aviso 44" xfId="8100" xr:uid="{00000000-0005-0000-0000-0000A41F0000}"/>
    <cellStyle name="Texto de Aviso 45" xfId="8101" xr:uid="{00000000-0005-0000-0000-0000A51F0000}"/>
    <cellStyle name="Texto de Aviso 46" xfId="8102" xr:uid="{00000000-0005-0000-0000-0000A61F0000}"/>
    <cellStyle name="Texto de Aviso 47" xfId="8103" xr:uid="{00000000-0005-0000-0000-0000A71F0000}"/>
    <cellStyle name="Texto de Aviso 48" xfId="8104" xr:uid="{00000000-0005-0000-0000-0000A81F0000}"/>
    <cellStyle name="Texto de Aviso 49" xfId="8105" xr:uid="{00000000-0005-0000-0000-0000A91F0000}"/>
    <cellStyle name="Texto de Aviso 5" xfId="8106" xr:uid="{00000000-0005-0000-0000-0000AA1F0000}"/>
    <cellStyle name="Texto de Aviso 50" xfId="8107" xr:uid="{00000000-0005-0000-0000-0000AB1F0000}"/>
    <cellStyle name="Texto de Aviso 51" xfId="8108" xr:uid="{00000000-0005-0000-0000-0000AC1F0000}"/>
    <cellStyle name="Texto de Aviso 52" xfId="8109" xr:uid="{00000000-0005-0000-0000-0000AD1F0000}"/>
    <cellStyle name="Texto de Aviso 53" xfId="8110" xr:uid="{00000000-0005-0000-0000-0000AE1F0000}"/>
    <cellStyle name="Texto de Aviso 54" xfId="8111" xr:uid="{00000000-0005-0000-0000-0000AF1F0000}"/>
    <cellStyle name="Texto de Aviso 55" xfId="8112" xr:uid="{00000000-0005-0000-0000-0000B01F0000}"/>
    <cellStyle name="Texto de Aviso 56" xfId="8113" xr:uid="{00000000-0005-0000-0000-0000B11F0000}"/>
    <cellStyle name="Texto de Aviso 57" xfId="8114" xr:uid="{00000000-0005-0000-0000-0000B21F0000}"/>
    <cellStyle name="Texto de Aviso 58" xfId="8115" xr:uid="{00000000-0005-0000-0000-0000B31F0000}"/>
    <cellStyle name="Texto de Aviso 59" xfId="8116" xr:uid="{00000000-0005-0000-0000-0000B41F0000}"/>
    <cellStyle name="Texto de Aviso 6" xfId="8117" xr:uid="{00000000-0005-0000-0000-0000B51F0000}"/>
    <cellStyle name="Texto de Aviso 60" xfId="8118" xr:uid="{00000000-0005-0000-0000-0000B61F0000}"/>
    <cellStyle name="Texto de Aviso 61" xfId="8119" xr:uid="{00000000-0005-0000-0000-0000B71F0000}"/>
    <cellStyle name="Texto de Aviso 62" xfId="8120" xr:uid="{00000000-0005-0000-0000-0000B81F0000}"/>
    <cellStyle name="Texto de Aviso 63" xfId="8121" xr:uid="{00000000-0005-0000-0000-0000B91F0000}"/>
    <cellStyle name="Texto de Aviso 64" xfId="8122" xr:uid="{00000000-0005-0000-0000-0000BA1F0000}"/>
    <cellStyle name="Texto de Aviso 65" xfId="8123" xr:uid="{00000000-0005-0000-0000-0000BB1F0000}"/>
    <cellStyle name="Texto de Aviso 66" xfId="8124" xr:uid="{00000000-0005-0000-0000-0000BC1F0000}"/>
    <cellStyle name="Texto de Aviso 67" xfId="8125" xr:uid="{00000000-0005-0000-0000-0000BD1F0000}"/>
    <cellStyle name="Texto de Aviso 68" xfId="8126" xr:uid="{00000000-0005-0000-0000-0000BE1F0000}"/>
    <cellStyle name="Texto de Aviso 69" xfId="8127" xr:uid="{00000000-0005-0000-0000-0000BF1F0000}"/>
    <cellStyle name="Texto de Aviso 7" xfId="8128" xr:uid="{00000000-0005-0000-0000-0000C01F0000}"/>
    <cellStyle name="Texto de Aviso 70" xfId="8129" xr:uid="{00000000-0005-0000-0000-0000C11F0000}"/>
    <cellStyle name="Texto de Aviso 71" xfId="8130" xr:uid="{00000000-0005-0000-0000-0000C21F0000}"/>
    <cellStyle name="Texto de Aviso 72" xfId="8131" xr:uid="{00000000-0005-0000-0000-0000C31F0000}"/>
    <cellStyle name="Texto de Aviso 73" xfId="8132" xr:uid="{00000000-0005-0000-0000-0000C41F0000}"/>
    <cellStyle name="Texto de Aviso 74" xfId="8133" xr:uid="{00000000-0005-0000-0000-0000C51F0000}"/>
    <cellStyle name="Texto de Aviso 75" xfId="8134" xr:uid="{00000000-0005-0000-0000-0000C61F0000}"/>
    <cellStyle name="Texto de Aviso 76" xfId="8135" xr:uid="{00000000-0005-0000-0000-0000C71F0000}"/>
    <cellStyle name="Texto de Aviso 77" xfId="8136" xr:uid="{00000000-0005-0000-0000-0000C81F0000}"/>
    <cellStyle name="Texto de Aviso 78" xfId="8137" xr:uid="{00000000-0005-0000-0000-0000C91F0000}"/>
    <cellStyle name="Texto de Aviso 79" xfId="8138" xr:uid="{00000000-0005-0000-0000-0000CA1F0000}"/>
    <cellStyle name="Texto de Aviso 8" xfId="8139" xr:uid="{00000000-0005-0000-0000-0000CB1F0000}"/>
    <cellStyle name="Texto de Aviso 80" xfId="8140" xr:uid="{00000000-0005-0000-0000-0000CC1F0000}"/>
    <cellStyle name="Texto de Aviso 81" xfId="8141" xr:uid="{00000000-0005-0000-0000-0000CD1F0000}"/>
    <cellStyle name="Texto de Aviso 82" xfId="8142" xr:uid="{00000000-0005-0000-0000-0000CE1F0000}"/>
    <cellStyle name="Texto de Aviso 83" xfId="8143" xr:uid="{00000000-0005-0000-0000-0000CF1F0000}"/>
    <cellStyle name="Texto de Aviso 84" xfId="8144" xr:uid="{00000000-0005-0000-0000-0000D01F0000}"/>
    <cellStyle name="Texto de Aviso 85" xfId="8145" xr:uid="{00000000-0005-0000-0000-0000D11F0000}"/>
    <cellStyle name="Texto de Aviso 86" xfId="8146" xr:uid="{00000000-0005-0000-0000-0000D21F0000}"/>
    <cellStyle name="Texto de Aviso 87" xfId="8147" xr:uid="{00000000-0005-0000-0000-0000D31F0000}"/>
    <cellStyle name="Texto de Aviso 88" xfId="8148" xr:uid="{00000000-0005-0000-0000-0000D41F0000}"/>
    <cellStyle name="Texto de Aviso 89" xfId="8149" xr:uid="{00000000-0005-0000-0000-0000D51F0000}"/>
    <cellStyle name="Texto de Aviso 9" xfId="8150" xr:uid="{00000000-0005-0000-0000-0000D61F0000}"/>
    <cellStyle name="Texto de Aviso 90" xfId="8151" xr:uid="{00000000-0005-0000-0000-0000D71F0000}"/>
    <cellStyle name="Texto de Aviso 91" xfId="8152" xr:uid="{00000000-0005-0000-0000-0000D81F0000}"/>
    <cellStyle name="Texto de Aviso 92" xfId="8153" xr:uid="{00000000-0005-0000-0000-0000D91F0000}"/>
    <cellStyle name="Texto de Aviso 93" xfId="8154" xr:uid="{00000000-0005-0000-0000-0000DA1F0000}"/>
    <cellStyle name="Texto de Aviso 94" xfId="8155" xr:uid="{00000000-0005-0000-0000-0000DB1F0000}"/>
    <cellStyle name="Texto de Aviso 95" xfId="8156" xr:uid="{00000000-0005-0000-0000-0000DC1F0000}"/>
    <cellStyle name="Texto de Aviso 96" xfId="8157" xr:uid="{00000000-0005-0000-0000-0000DD1F0000}"/>
    <cellStyle name="Texto de Aviso 97" xfId="8158" xr:uid="{00000000-0005-0000-0000-0000DE1F0000}"/>
    <cellStyle name="Texto de Aviso 98" xfId="8159" xr:uid="{00000000-0005-0000-0000-0000DF1F0000}"/>
    <cellStyle name="Texto de Aviso 99" xfId="8160" xr:uid="{00000000-0005-0000-0000-0000E01F0000}"/>
    <cellStyle name="Texto Explicativo 10" xfId="8161" xr:uid="{00000000-0005-0000-0000-0000E11F0000}"/>
    <cellStyle name="Texto Explicativo 100" xfId="8162" xr:uid="{00000000-0005-0000-0000-0000E21F0000}"/>
    <cellStyle name="Texto Explicativo 101" xfId="8163" xr:uid="{00000000-0005-0000-0000-0000E31F0000}"/>
    <cellStyle name="Texto Explicativo 102" xfId="8164" xr:uid="{00000000-0005-0000-0000-0000E41F0000}"/>
    <cellStyle name="Texto Explicativo 103" xfId="8165" xr:uid="{00000000-0005-0000-0000-0000E51F0000}"/>
    <cellStyle name="Texto Explicativo 104" xfId="8166" xr:uid="{00000000-0005-0000-0000-0000E61F0000}"/>
    <cellStyle name="Texto Explicativo 105" xfId="8167" xr:uid="{00000000-0005-0000-0000-0000E71F0000}"/>
    <cellStyle name="Texto Explicativo 106" xfId="8168" xr:uid="{00000000-0005-0000-0000-0000E81F0000}"/>
    <cellStyle name="Texto Explicativo 107" xfId="8169" xr:uid="{00000000-0005-0000-0000-0000E91F0000}"/>
    <cellStyle name="Texto Explicativo 108" xfId="8170" xr:uid="{00000000-0005-0000-0000-0000EA1F0000}"/>
    <cellStyle name="Texto Explicativo 109" xfId="8171" xr:uid="{00000000-0005-0000-0000-0000EB1F0000}"/>
    <cellStyle name="Texto Explicativo 11" xfId="8172" xr:uid="{00000000-0005-0000-0000-0000EC1F0000}"/>
    <cellStyle name="Texto Explicativo 110" xfId="8173" xr:uid="{00000000-0005-0000-0000-0000ED1F0000}"/>
    <cellStyle name="Texto Explicativo 111" xfId="8174" xr:uid="{00000000-0005-0000-0000-0000EE1F0000}"/>
    <cellStyle name="Texto Explicativo 112" xfId="8175" xr:uid="{00000000-0005-0000-0000-0000EF1F0000}"/>
    <cellStyle name="Texto Explicativo 113" xfId="8176" xr:uid="{00000000-0005-0000-0000-0000F01F0000}"/>
    <cellStyle name="Texto Explicativo 114" xfId="8177" xr:uid="{00000000-0005-0000-0000-0000F11F0000}"/>
    <cellStyle name="Texto Explicativo 115" xfId="8178" xr:uid="{00000000-0005-0000-0000-0000F21F0000}"/>
    <cellStyle name="Texto Explicativo 116" xfId="8179" xr:uid="{00000000-0005-0000-0000-0000F31F0000}"/>
    <cellStyle name="Texto Explicativo 117" xfId="8180" xr:uid="{00000000-0005-0000-0000-0000F41F0000}"/>
    <cellStyle name="Texto Explicativo 118" xfId="8181" xr:uid="{00000000-0005-0000-0000-0000F51F0000}"/>
    <cellStyle name="Texto Explicativo 119" xfId="8182" xr:uid="{00000000-0005-0000-0000-0000F61F0000}"/>
    <cellStyle name="Texto Explicativo 12" xfId="8183" xr:uid="{00000000-0005-0000-0000-0000F71F0000}"/>
    <cellStyle name="Texto Explicativo 120" xfId="8184" xr:uid="{00000000-0005-0000-0000-0000F81F0000}"/>
    <cellStyle name="Texto Explicativo 13" xfId="8185" xr:uid="{00000000-0005-0000-0000-0000F91F0000}"/>
    <cellStyle name="Texto Explicativo 14" xfId="8186" xr:uid="{00000000-0005-0000-0000-0000FA1F0000}"/>
    <cellStyle name="Texto Explicativo 15" xfId="8187" xr:uid="{00000000-0005-0000-0000-0000FB1F0000}"/>
    <cellStyle name="Texto Explicativo 16" xfId="8188" xr:uid="{00000000-0005-0000-0000-0000FC1F0000}"/>
    <cellStyle name="Texto Explicativo 17" xfId="8189" xr:uid="{00000000-0005-0000-0000-0000FD1F0000}"/>
    <cellStyle name="Texto Explicativo 18" xfId="8190" xr:uid="{00000000-0005-0000-0000-0000FE1F0000}"/>
    <cellStyle name="Texto Explicativo 19" xfId="8191" xr:uid="{00000000-0005-0000-0000-0000FF1F0000}"/>
    <cellStyle name="Texto Explicativo 2" xfId="8192" xr:uid="{00000000-0005-0000-0000-000000200000}"/>
    <cellStyle name="Texto Explicativo 2 2" xfId="8193" xr:uid="{00000000-0005-0000-0000-000001200000}"/>
    <cellStyle name="Texto Explicativo 2 2 2" xfId="8194" xr:uid="{00000000-0005-0000-0000-000002200000}"/>
    <cellStyle name="Texto Explicativo 2 2 2 2" xfId="8195" xr:uid="{00000000-0005-0000-0000-000003200000}"/>
    <cellStyle name="Texto Explicativo 2 2 2 2 2" xfId="8196" xr:uid="{00000000-0005-0000-0000-000004200000}"/>
    <cellStyle name="Texto Explicativo 2 2 3" xfId="8197" xr:uid="{00000000-0005-0000-0000-000005200000}"/>
    <cellStyle name="Texto Explicativo 2 2 4" xfId="8198" xr:uid="{00000000-0005-0000-0000-000006200000}"/>
    <cellStyle name="Texto Explicativo 2 2_BD" xfId="8199" xr:uid="{00000000-0005-0000-0000-000007200000}"/>
    <cellStyle name="Texto Explicativo 2 3" xfId="8200" xr:uid="{00000000-0005-0000-0000-000008200000}"/>
    <cellStyle name="Texto Explicativo 2 4" xfId="8201" xr:uid="{00000000-0005-0000-0000-000009200000}"/>
    <cellStyle name="Texto Explicativo 2 5" xfId="8202" xr:uid="{00000000-0005-0000-0000-00000A200000}"/>
    <cellStyle name="Texto Explicativo 2 6" xfId="8203" xr:uid="{00000000-0005-0000-0000-00000B200000}"/>
    <cellStyle name="Texto Explicativo 2 6 2" xfId="8204" xr:uid="{00000000-0005-0000-0000-00000C200000}"/>
    <cellStyle name="Texto Explicativo 2_BD" xfId="8205" xr:uid="{00000000-0005-0000-0000-00000D200000}"/>
    <cellStyle name="Texto Explicativo 20" xfId="8206" xr:uid="{00000000-0005-0000-0000-00000E200000}"/>
    <cellStyle name="Texto Explicativo 21" xfId="8207" xr:uid="{00000000-0005-0000-0000-00000F200000}"/>
    <cellStyle name="Texto Explicativo 22" xfId="8208" xr:uid="{00000000-0005-0000-0000-000010200000}"/>
    <cellStyle name="Texto Explicativo 23" xfId="8209" xr:uid="{00000000-0005-0000-0000-000011200000}"/>
    <cellStyle name="Texto Explicativo 24" xfId="8210" xr:uid="{00000000-0005-0000-0000-000012200000}"/>
    <cellStyle name="Texto Explicativo 25" xfId="8211" xr:uid="{00000000-0005-0000-0000-000013200000}"/>
    <cellStyle name="Texto Explicativo 26" xfId="8212" xr:uid="{00000000-0005-0000-0000-000014200000}"/>
    <cellStyle name="Texto Explicativo 27" xfId="8213" xr:uid="{00000000-0005-0000-0000-000015200000}"/>
    <cellStyle name="Texto Explicativo 28" xfId="8214" xr:uid="{00000000-0005-0000-0000-000016200000}"/>
    <cellStyle name="Texto Explicativo 29" xfId="8215" xr:uid="{00000000-0005-0000-0000-000017200000}"/>
    <cellStyle name="Texto Explicativo 3" xfId="8216" xr:uid="{00000000-0005-0000-0000-000018200000}"/>
    <cellStyle name="Texto Explicativo 3 2" xfId="8217" xr:uid="{00000000-0005-0000-0000-000019200000}"/>
    <cellStyle name="Texto Explicativo 3_BD" xfId="8218" xr:uid="{00000000-0005-0000-0000-00001A200000}"/>
    <cellStyle name="Texto Explicativo 30" xfId="8219" xr:uid="{00000000-0005-0000-0000-00001B200000}"/>
    <cellStyle name="Texto Explicativo 31" xfId="8220" xr:uid="{00000000-0005-0000-0000-00001C200000}"/>
    <cellStyle name="Texto Explicativo 32" xfId="8221" xr:uid="{00000000-0005-0000-0000-00001D200000}"/>
    <cellStyle name="Texto Explicativo 33" xfId="8222" xr:uid="{00000000-0005-0000-0000-00001E200000}"/>
    <cellStyle name="Texto Explicativo 34" xfId="8223" xr:uid="{00000000-0005-0000-0000-00001F200000}"/>
    <cellStyle name="Texto Explicativo 35" xfId="8224" xr:uid="{00000000-0005-0000-0000-000020200000}"/>
    <cellStyle name="Texto Explicativo 36" xfId="8225" xr:uid="{00000000-0005-0000-0000-000021200000}"/>
    <cellStyle name="Texto Explicativo 37" xfId="8226" xr:uid="{00000000-0005-0000-0000-000022200000}"/>
    <cellStyle name="Texto Explicativo 38" xfId="8227" xr:uid="{00000000-0005-0000-0000-000023200000}"/>
    <cellStyle name="Texto Explicativo 39" xfId="8228" xr:uid="{00000000-0005-0000-0000-000024200000}"/>
    <cellStyle name="Texto Explicativo 4" xfId="8229" xr:uid="{00000000-0005-0000-0000-000025200000}"/>
    <cellStyle name="Texto Explicativo 40" xfId="8230" xr:uid="{00000000-0005-0000-0000-000026200000}"/>
    <cellStyle name="Texto Explicativo 41" xfId="8231" xr:uid="{00000000-0005-0000-0000-000027200000}"/>
    <cellStyle name="Texto Explicativo 42" xfId="8232" xr:uid="{00000000-0005-0000-0000-000028200000}"/>
    <cellStyle name="Texto Explicativo 43" xfId="8233" xr:uid="{00000000-0005-0000-0000-000029200000}"/>
    <cellStyle name="Texto Explicativo 44" xfId="8234" xr:uid="{00000000-0005-0000-0000-00002A200000}"/>
    <cellStyle name="Texto Explicativo 45" xfId="8235" xr:uid="{00000000-0005-0000-0000-00002B200000}"/>
    <cellStyle name="Texto Explicativo 46" xfId="8236" xr:uid="{00000000-0005-0000-0000-00002C200000}"/>
    <cellStyle name="Texto Explicativo 47" xfId="8237" xr:uid="{00000000-0005-0000-0000-00002D200000}"/>
    <cellStyle name="Texto Explicativo 48" xfId="8238" xr:uid="{00000000-0005-0000-0000-00002E200000}"/>
    <cellStyle name="Texto Explicativo 49" xfId="8239" xr:uid="{00000000-0005-0000-0000-00002F200000}"/>
    <cellStyle name="Texto Explicativo 5" xfId="8240" xr:uid="{00000000-0005-0000-0000-000030200000}"/>
    <cellStyle name="Texto Explicativo 50" xfId="8241" xr:uid="{00000000-0005-0000-0000-000031200000}"/>
    <cellStyle name="Texto Explicativo 51" xfId="8242" xr:uid="{00000000-0005-0000-0000-000032200000}"/>
    <cellStyle name="Texto Explicativo 52" xfId="8243" xr:uid="{00000000-0005-0000-0000-000033200000}"/>
    <cellStyle name="Texto Explicativo 53" xfId="8244" xr:uid="{00000000-0005-0000-0000-000034200000}"/>
    <cellStyle name="Texto Explicativo 54" xfId="8245" xr:uid="{00000000-0005-0000-0000-000035200000}"/>
    <cellStyle name="Texto Explicativo 55" xfId="8246" xr:uid="{00000000-0005-0000-0000-000036200000}"/>
    <cellStyle name="Texto Explicativo 56" xfId="8247" xr:uid="{00000000-0005-0000-0000-000037200000}"/>
    <cellStyle name="Texto Explicativo 57" xfId="8248" xr:uid="{00000000-0005-0000-0000-000038200000}"/>
    <cellStyle name="Texto Explicativo 58" xfId="8249" xr:uid="{00000000-0005-0000-0000-000039200000}"/>
    <cellStyle name="Texto Explicativo 59" xfId="8250" xr:uid="{00000000-0005-0000-0000-00003A200000}"/>
    <cellStyle name="Texto Explicativo 6" xfId="8251" xr:uid="{00000000-0005-0000-0000-00003B200000}"/>
    <cellStyle name="Texto Explicativo 60" xfId="8252" xr:uid="{00000000-0005-0000-0000-00003C200000}"/>
    <cellStyle name="Texto Explicativo 61" xfId="8253" xr:uid="{00000000-0005-0000-0000-00003D200000}"/>
    <cellStyle name="Texto Explicativo 62" xfId="8254" xr:uid="{00000000-0005-0000-0000-00003E200000}"/>
    <cellStyle name="Texto Explicativo 63" xfId="8255" xr:uid="{00000000-0005-0000-0000-00003F200000}"/>
    <cellStyle name="Texto Explicativo 64" xfId="8256" xr:uid="{00000000-0005-0000-0000-000040200000}"/>
    <cellStyle name="Texto Explicativo 65" xfId="8257" xr:uid="{00000000-0005-0000-0000-000041200000}"/>
    <cellStyle name="Texto Explicativo 66" xfId="8258" xr:uid="{00000000-0005-0000-0000-000042200000}"/>
    <cellStyle name="Texto Explicativo 67" xfId="8259" xr:uid="{00000000-0005-0000-0000-000043200000}"/>
    <cellStyle name="Texto Explicativo 68" xfId="8260" xr:uid="{00000000-0005-0000-0000-000044200000}"/>
    <cellStyle name="Texto Explicativo 69" xfId="8261" xr:uid="{00000000-0005-0000-0000-000045200000}"/>
    <cellStyle name="Texto Explicativo 7" xfId="8262" xr:uid="{00000000-0005-0000-0000-000046200000}"/>
    <cellStyle name="Texto Explicativo 70" xfId="8263" xr:uid="{00000000-0005-0000-0000-000047200000}"/>
    <cellStyle name="Texto Explicativo 71" xfId="8264" xr:uid="{00000000-0005-0000-0000-000048200000}"/>
    <cellStyle name="Texto Explicativo 72" xfId="8265" xr:uid="{00000000-0005-0000-0000-000049200000}"/>
    <cellStyle name="Texto Explicativo 73" xfId="8266" xr:uid="{00000000-0005-0000-0000-00004A200000}"/>
    <cellStyle name="Texto Explicativo 74" xfId="8267" xr:uid="{00000000-0005-0000-0000-00004B200000}"/>
    <cellStyle name="Texto Explicativo 75" xfId="8268" xr:uid="{00000000-0005-0000-0000-00004C200000}"/>
    <cellStyle name="Texto Explicativo 76" xfId="8269" xr:uid="{00000000-0005-0000-0000-00004D200000}"/>
    <cellStyle name="Texto Explicativo 77" xfId="8270" xr:uid="{00000000-0005-0000-0000-00004E200000}"/>
    <cellStyle name="Texto Explicativo 78" xfId="8271" xr:uid="{00000000-0005-0000-0000-00004F200000}"/>
    <cellStyle name="Texto Explicativo 79" xfId="8272" xr:uid="{00000000-0005-0000-0000-000050200000}"/>
    <cellStyle name="Texto Explicativo 8" xfId="8273" xr:uid="{00000000-0005-0000-0000-000051200000}"/>
    <cellStyle name="Texto Explicativo 80" xfId="8274" xr:uid="{00000000-0005-0000-0000-000052200000}"/>
    <cellStyle name="Texto Explicativo 81" xfId="8275" xr:uid="{00000000-0005-0000-0000-000053200000}"/>
    <cellStyle name="Texto Explicativo 82" xfId="8276" xr:uid="{00000000-0005-0000-0000-000054200000}"/>
    <cellStyle name="Texto Explicativo 83" xfId="8277" xr:uid="{00000000-0005-0000-0000-000055200000}"/>
    <cellStyle name="Texto Explicativo 84" xfId="8278" xr:uid="{00000000-0005-0000-0000-000056200000}"/>
    <cellStyle name="Texto Explicativo 85" xfId="8279" xr:uid="{00000000-0005-0000-0000-000057200000}"/>
    <cellStyle name="Texto Explicativo 86" xfId="8280" xr:uid="{00000000-0005-0000-0000-000058200000}"/>
    <cellStyle name="Texto Explicativo 87" xfId="8281" xr:uid="{00000000-0005-0000-0000-000059200000}"/>
    <cellStyle name="Texto Explicativo 88" xfId="8282" xr:uid="{00000000-0005-0000-0000-00005A200000}"/>
    <cellStyle name="Texto Explicativo 89" xfId="8283" xr:uid="{00000000-0005-0000-0000-00005B200000}"/>
    <cellStyle name="Texto Explicativo 9" xfId="8284" xr:uid="{00000000-0005-0000-0000-00005C200000}"/>
    <cellStyle name="Texto Explicativo 90" xfId="8285" xr:uid="{00000000-0005-0000-0000-00005D200000}"/>
    <cellStyle name="Texto Explicativo 91" xfId="8286" xr:uid="{00000000-0005-0000-0000-00005E200000}"/>
    <cellStyle name="Texto Explicativo 92" xfId="8287" xr:uid="{00000000-0005-0000-0000-00005F200000}"/>
    <cellStyle name="Texto Explicativo 93" xfId="8288" xr:uid="{00000000-0005-0000-0000-000060200000}"/>
    <cellStyle name="Texto Explicativo 94" xfId="8289" xr:uid="{00000000-0005-0000-0000-000061200000}"/>
    <cellStyle name="Texto Explicativo 95" xfId="8290" xr:uid="{00000000-0005-0000-0000-000062200000}"/>
    <cellStyle name="Texto Explicativo 96" xfId="8291" xr:uid="{00000000-0005-0000-0000-000063200000}"/>
    <cellStyle name="Texto Explicativo 97" xfId="8292" xr:uid="{00000000-0005-0000-0000-000064200000}"/>
    <cellStyle name="Texto Explicativo 98" xfId="8293" xr:uid="{00000000-0005-0000-0000-000065200000}"/>
    <cellStyle name="Texto Explicativo 99" xfId="8294" xr:uid="{00000000-0005-0000-0000-000066200000}"/>
    <cellStyle name="Título 1 1" xfId="8295" xr:uid="{00000000-0005-0000-0000-000067200000}"/>
    <cellStyle name="Título 1 1 1" xfId="8296" xr:uid="{00000000-0005-0000-0000-000068200000}"/>
    <cellStyle name="Título 1 1 1 1" xfId="8297" xr:uid="{00000000-0005-0000-0000-000069200000}"/>
    <cellStyle name="Título 1 1 1 1 1" xfId="8298" xr:uid="{00000000-0005-0000-0000-00006A200000}"/>
    <cellStyle name="Título 1 1 1 1 1 1" xfId="8299" xr:uid="{00000000-0005-0000-0000-00006B200000}"/>
    <cellStyle name="Título 1 1 1 1 1 1 1" xfId="8300" xr:uid="{00000000-0005-0000-0000-00006C200000}"/>
    <cellStyle name="Título 1 1 1 2" xfId="8301" xr:uid="{00000000-0005-0000-0000-00006D200000}"/>
    <cellStyle name="Título 1 1 1_Estoque Atual" xfId="8302" xr:uid="{00000000-0005-0000-0000-00006E200000}"/>
    <cellStyle name="Título 1 1 2" xfId="8303" xr:uid="{00000000-0005-0000-0000-00006F200000}"/>
    <cellStyle name="Título 1 1 3" xfId="8304" xr:uid="{00000000-0005-0000-0000-000070200000}"/>
    <cellStyle name="Título 1 1 4" xfId="8305" xr:uid="{00000000-0005-0000-0000-000071200000}"/>
    <cellStyle name="Título 1 1 5" xfId="8306" xr:uid="{00000000-0005-0000-0000-000072200000}"/>
    <cellStyle name="Título 1 1 6" xfId="8307" xr:uid="{00000000-0005-0000-0000-000073200000}"/>
    <cellStyle name="Título 1 1 7" xfId="8308" xr:uid="{00000000-0005-0000-0000-000074200000}"/>
    <cellStyle name="Título 1 1 8" xfId="8309" xr:uid="{00000000-0005-0000-0000-000075200000}"/>
    <cellStyle name="Título 1 1 9" xfId="8310" xr:uid="{00000000-0005-0000-0000-000076200000}"/>
    <cellStyle name="Título 1 1_Estoque Atual" xfId="8311" xr:uid="{00000000-0005-0000-0000-000077200000}"/>
    <cellStyle name="Título 1 10" xfId="8312" xr:uid="{00000000-0005-0000-0000-000078200000}"/>
    <cellStyle name="Título 1 100" xfId="8313" xr:uid="{00000000-0005-0000-0000-000079200000}"/>
    <cellStyle name="Título 1 101" xfId="8314" xr:uid="{00000000-0005-0000-0000-00007A200000}"/>
    <cellStyle name="Título 1 102" xfId="8315" xr:uid="{00000000-0005-0000-0000-00007B200000}"/>
    <cellStyle name="Título 1 103" xfId="8316" xr:uid="{00000000-0005-0000-0000-00007C200000}"/>
    <cellStyle name="Título 1 104" xfId="8317" xr:uid="{00000000-0005-0000-0000-00007D200000}"/>
    <cellStyle name="Título 1 105" xfId="8318" xr:uid="{00000000-0005-0000-0000-00007E200000}"/>
    <cellStyle name="Título 1 106" xfId="8319" xr:uid="{00000000-0005-0000-0000-00007F200000}"/>
    <cellStyle name="Título 1 107" xfId="8320" xr:uid="{00000000-0005-0000-0000-000080200000}"/>
    <cellStyle name="Título 1 108" xfId="8321" xr:uid="{00000000-0005-0000-0000-000081200000}"/>
    <cellStyle name="Título 1 109" xfId="8322" xr:uid="{00000000-0005-0000-0000-000082200000}"/>
    <cellStyle name="Título 1 11" xfId="8323" xr:uid="{00000000-0005-0000-0000-000083200000}"/>
    <cellStyle name="Título 1 110" xfId="8324" xr:uid="{00000000-0005-0000-0000-000084200000}"/>
    <cellStyle name="Título 1 111" xfId="8325" xr:uid="{00000000-0005-0000-0000-000085200000}"/>
    <cellStyle name="Título 1 112" xfId="8326" xr:uid="{00000000-0005-0000-0000-000086200000}"/>
    <cellStyle name="Título 1 113" xfId="8327" xr:uid="{00000000-0005-0000-0000-000087200000}"/>
    <cellStyle name="Título 1 114" xfId="8328" xr:uid="{00000000-0005-0000-0000-000088200000}"/>
    <cellStyle name="Título 1 115" xfId="8329" xr:uid="{00000000-0005-0000-0000-000089200000}"/>
    <cellStyle name="Título 1 116" xfId="8330" xr:uid="{00000000-0005-0000-0000-00008A200000}"/>
    <cellStyle name="Título 1 117" xfId="8331" xr:uid="{00000000-0005-0000-0000-00008B200000}"/>
    <cellStyle name="Título 1 118" xfId="8332" xr:uid="{00000000-0005-0000-0000-00008C200000}"/>
    <cellStyle name="Título 1 119" xfId="8333" xr:uid="{00000000-0005-0000-0000-00008D200000}"/>
    <cellStyle name="Título 1 12" xfId="8334" xr:uid="{00000000-0005-0000-0000-00008E200000}"/>
    <cellStyle name="Título 1 120" xfId="8335" xr:uid="{00000000-0005-0000-0000-00008F200000}"/>
    <cellStyle name="Título 1 13" xfId="8336" xr:uid="{00000000-0005-0000-0000-000090200000}"/>
    <cellStyle name="Título 1 14" xfId="8337" xr:uid="{00000000-0005-0000-0000-000091200000}"/>
    <cellStyle name="Título 1 15" xfId="8338" xr:uid="{00000000-0005-0000-0000-000092200000}"/>
    <cellStyle name="Título 1 16" xfId="8339" xr:uid="{00000000-0005-0000-0000-000093200000}"/>
    <cellStyle name="Título 1 17" xfId="8340" xr:uid="{00000000-0005-0000-0000-000094200000}"/>
    <cellStyle name="Título 1 18" xfId="8341" xr:uid="{00000000-0005-0000-0000-000095200000}"/>
    <cellStyle name="Título 1 19" xfId="8342" xr:uid="{00000000-0005-0000-0000-000096200000}"/>
    <cellStyle name="Título 1 2" xfId="8343" xr:uid="{00000000-0005-0000-0000-000097200000}"/>
    <cellStyle name="Título 1 2 10" xfId="8344" xr:uid="{00000000-0005-0000-0000-000098200000}"/>
    <cellStyle name="Título 1 2 11" xfId="8345" xr:uid="{00000000-0005-0000-0000-000099200000}"/>
    <cellStyle name="Título 1 2 12" xfId="8346" xr:uid="{00000000-0005-0000-0000-00009A200000}"/>
    <cellStyle name="Título 1 2 13" xfId="8347" xr:uid="{00000000-0005-0000-0000-00009B200000}"/>
    <cellStyle name="Título 1 2 14" xfId="8348" xr:uid="{00000000-0005-0000-0000-00009C200000}"/>
    <cellStyle name="Título 1 2 15" xfId="8349" xr:uid="{00000000-0005-0000-0000-00009D200000}"/>
    <cellStyle name="Título 1 2 16" xfId="8350" xr:uid="{00000000-0005-0000-0000-00009E200000}"/>
    <cellStyle name="Título 1 2 16 2" xfId="8351" xr:uid="{00000000-0005-0000-0000-00009F200000}"/>
    <cellStyle name="Título 1 2 2" xfId="8352" xr:uid="{00000000-0005-0000-0000-0000A0200000}"/>
    <cellStyle name="Título 1 2 2 10" xfId="8353" xr:uid="{00000000-0005-0000-0000-0000A1200000}"/>
    <cellStyle name="Título 1 2 2 11" xfId="8354" xr:uid="{00000000-0005-0000-0000-0000A2200000}"/>
    <cellStyle name="Título 1 2 2 12" xfId="8355" xr:uid="{00000000-0005-0000-0000-0000A3200000}"/>
    <cellStyle name="Título 1 2 2 13" xfId="8356" xr:uid="{00000000-0005-0000-0000-0000A4200000}"/>
    <cellStyle name="Título 1 2 2 14" xfId="8357" xr:uid="{00000000-0005-0000-0000-0000A5200000}"/>
    <cellStyle name="Título 1 2 2 15" xfId="8358" xr:uid="{00000000-0005-0000-0000-0000A6200000}"/>
    <cellStyle name="Título 1 2 2 2" xfId="8359" xr:uid="{00000000-0005-0000-0000-0000A7200000}"/>
    <cellStyle name="Título 1 2 2 2 10" xfId="8360" xr:uid="{00000000-0005-0000-0000-0000A8200000}"/>
    <cellStyle name="Título 1 2 2 2 11" xfId="8361" xr:uid="{00000000-0005-0000-0000-0000A9200000}"/>
    <cellStyle name="Título 1 2 2 2 2" xfId="8362" xr:uid="{00000000-0005-0000-0000-0000AA200000}"/>
    <cellStyle name="Título 1 2 2 2 2 10" xfId="8363" xr:uid="{00000000-0005-0000-0000-0000AB200000}"/>
    <cellStyle name="Título 1 2 2 2 2 11" xfId="8364" xr:uid="{00000000-0005-0000-0000-0000AC200000}"/>
    <cellStyle name="Título 1 2 2 2 2 2" xfId="8365" xr:uid="{00000000-0005-0000-0000-0000AD200000}"/>
    <cellStyle name="Título 1 2 2 2 2 2 2" xfId="8366" xr:uid="{00000000-0005-0000-0000-0000AE200000}"/>
    <cellStyle name="Título 1 2 2 2 2 2 2 2" xfId="8367" xr:uid="{00000000-0005-0000-0000-0000AF200000}"/>
    <cellStyle name="Título 1 2 2 2 2 2 2 2 2" xfId="8368" xr:uid="{00000000-0005-0000-0000-0000B0200000}"/>
    <cellStyle name="Título 1 2 2 2 2 2 2 2 2 2" xfId="8369" xr:uid="{00000000-0005-0000-0000-0000B1200000}"/>
    <cellStyle name="Título 1 2 2 2 2 2 2 2 2 3" xfId="8370" xr:uid="{00000000-0005-0000-0000-0000B2200000}"/>
    <cellStyle name="Título 1 2 2 2 2 2 2 2 3" xfId="8371" xr:uid="{00000000-0005-0000-0000-0000B3200000}"/>
    <cellStyle name="Título 1 2 2 2 2 2 2 3" xfId="8372" xr:uid="{00000000-0005-0000-0000-0000B4200000}"/>
    <cellStyle name="Título 1 2 2 2 2 2 2 4" xfId="8373" xr:uid="{00000000-0005-0000-0000-0000B5200000}"/>
    <cellStyle name="Título 1 2 2 2 2 2 2 5" xfId="8374" xr:uid="{00000000-0005-0000-0000-0000B6200000}"/>
    <cellStyle name="Título 1 2 2 2 2 2 2 6" xfId="8375" xr:uid="{00000000-0005-0000-0000-0000B7200000}"/>
    <cellStyle name="Título 1 2 2 2 2 2 2 7" xfId="8376" xr:uid="{00000000-0005-0000-0000-0000B8200000}"/>
    <cellStyle name="Título 1 2 2 2 2 2 2 8" xfId="8377" xr:uid="{00000000-0005-0000-0000-0000B9200000}"/>
    <cellStyle name="Título 1 2 2 2 2 2 3" xfId="8378" xr:uid="{00000000-0005-0000-0000-0000BA200000}"/>
    <cellStyle name="Título 1 2 2 2 2 2 4" xfId="8379" xr:uid="{00000000-0005-0000-0000-0000BB200000}"/>
    <cellStyle name="Título 1 2 2 2 2 2 5" xfId="8380" xr:uid="{00000000-0005-0000-0000-0000BC200000}"/>
    <cellStyle name="Título 1 2 2 2 2 2 6" xfId="8381" xr:uid="{00000000-0005-0000-0000-0000BD200000}"/>
    <cellStyle name="Título 1 2 2 2 2 2 7" xfId="8382" xr:uid="{00000000-0005-0000-0000-0000BE200000}"/>
    <cellStyle name="Título 1 2 2 2 2 2 8" xfId="8383" xr:uid="{00000000-0005-0000-0000-0000BF200000}"/>
    <cellStyle name="Título 1 2 2 2 2 2_BD" xfId="8384" xr:uid="{00000000-0005-0000-0000-0000C0200000}"/>
    <cellStyle name="Título 1 2 2 2 2 3" xfId="8385" xr:uid="{00000000-0005-0000-0000-0000C1200000}"/>
    <cellStyle name="Título 1 2 2 2 2 4" xfId="8386" xr:uid="{00000000-0005-0000-0000-0000C2200000}"/>
    <cellStyle name="Título 1 2 2 2 2 5" xfId="8387" xr:uid="{00000000-0005-0000-0000-0000C3200000}"/>
    <cellStyle name="Título 1 2 2 2 2 6" xfId="8388" xr:uid="{00000000-0005-0000-0000-0000C4200000}"/>
    <cellStyle name="Título 1 2 2 2 2 7" xfId="8389" xr:uid="{00000000-0005-0000-0000-0000C5200000}"/>
    <cellStyle name="Título 1 2 2 2 2 8" xfId="8390" xr:uid="{00000000-0005-0000-0000-0000C6200000}"/>
    <cellStyle name="Título 1 2 2 2 2 9" xfId="8391" xr:uid="{00000000-0005-0000-0000-0000C7200000}"/>
    <cellStyle name="Título 1 2 2 2 2_BD" xfId="8392" xr:uid="{00000000-0005-0000-0000-0000C8200000}"/>
    <cellStyle name="Título 1 2 2 2 3" xfId="8393" xr:uid="{00000000-0005-0000-0000-0000C9200000}"/>
    <cellStyle name="Título 1 2 2 2 4" xfId="8394" xr:uid="{00000000-0005-0000-0000-0000CA200000}"/>
    <cellStyle name="Título 1 2 2 2 5" xfId="8395" xr:uid="{00000000-0005-0000-0000-0000CB200000}"/>
    <cellStyle name="Título 1 2 2 2 6" xfId="8396" xr:uid="{00000000-0005-0000-0000-0000CC200000}"/>
    <cellStyle name="Título 1 2 2 2 7" xfId="8397" xr:uid="{00000000-0005-0000-0000-0000CD200000}"/>
    <cellStyle name="Título 1 2 2 2 8" xfId="8398" xr:uid="{00000000-0005-0000-0000-0000CE200000}"/>
    <cellStyle name="Título 1 2 2 2 9" xfId="8399" xr:uid="{00000000-0005-0000-0000-0000CF200000}"/>
    <cellStyle name="Título 1 2 2 2_BD" xfId="8400" xr:uid="{00000000-0005-0000-0000-0000D0200000}"/>
    <cellStyle name="Título 1 2 2 3" xfId="8401" xr:uid="{00000000-0005-0000-0000-0000D1200000}"/>
    <cellStyle name="Título 1 2 2 4" xfId="8402" xr:uid="{00000000-0005-0000-0000-0000D2200000}"/>
    <cellStyle name="Título 1 2 2 5" xfId="8403" xr:uid="{00000000-0005-0000-0000-0000D3200000}"/>
    <cellStyle name="Título 1 2 2 6" xfId="8404" xr:uid="{00000000-0005-0000-0000-0000D4200000}"/>
    <cellStyle name="Título 1 2 2 7" xfId="8405" xr:uid="{00000000-0005-0000-0000-0000D5200000}"/>
    <cellStyle name="Título 1 2 2 8" xfId="8406" xr:uid="{00000000-0005-0000-0000-0000D6200000}"/>
    <cellStyle name="Título 1 2 2 9" xfId="8407" xr:uid="{00000000-0005-0000-0000-0000D7200000}"/>
    <cellStyle name="Título 1 2 2_BD" xfId="8408" xr:uid="{00000000-0005-0000-0000-0000D8200000}"/>
    <cellStyle name="Título 1 2 3" xfId="8409" xr:uid="{00000000-0005-0000-0000-0000D9200000}"/>
    <cellStyle name="Título 1 2 4" xfId="8410" xr:uid="{00000000-0005-0000-0000-0000DA200000}"/>
    <cellStyle name="Título 1 2 5" xfId="8411" xr:uid="{00000000-0005-0000-0000-0000DB200000}"/>
    <cellStyle name="Título 1 2 6" xfId="8412" xr:uid="{00000000-0005-0000-0000-0000DC200000}"/>
    <cellStyle name="Título 1 2 7" xfId="8413" xr:uid="{00000000-0005-0000-0000-0000DD200000}"/>
    <cellStyle name="Título 1 2 8" xfId="8414" xr:uid="{00000000-0005-0000-0000-0000DE200000}"/>
    <cellStyle name="Título 1 2 9" xfId="8415" xr:uid="{00000000-0005-0000-0000-0000DF200000}"/>
    <cellStyle name="Título 1 2_BD" xfId="8416" xr:uid="{00000000-0005-0000-0000-0000E0200000}"/>
    <cellStyle name="Título 1 20" xfId="8417" xr:uid="{00000000-0005-0000-0000-0000E1200000}"/>
    <cellStyle name="Título 1 21" xfId="8418" xr:uid="{00000000-0005-0000-0000-0000E2200000}"/>
    <cellStyle name="Título 1 22" xfId="8419" xr:uid="{00000000-0005-0000-0000-0000E3200000}"/>
    <cellStyle name="Título 1 23" xfId="8420" xr:uid="{00000000-0005-0000-0000-0000E4200000}"/>
    <cellStyle name="Título 1 24" xfId="8421" xr:uid="{00000000-0005-0000-0000-0000E5200000}"/>
    <cellStyle name="Título 1 25" xfId="8422" xr:uid="{00000000-0005-0000-0000-0000E6200000}"/>
    <cellStyle name="Título 1 26" xfId="8423" xr:uid="{00000000-0005-0000-0000-0000E7200000}"/>
    <cellStyle name="Título 1 27" xfId="8424" xr:uid="{00000000-0005-0000-0000-0000E8200000}"/>
    <cellStyle name="Título 1 28" xfId="8425" xr:uid="{00000000-0005-0000-0000-0000E9200000}"/>
    <cellStyle name="Título 1 29" xfId="8426" xr:uid="{00000000-0005-0000-0000-0000EA200000}"/>
    <cellStyle name="Título 1 3" xfId="8427" xr:uid="{00000000-0005-0000-0000-0000EB200000}"/>
    <cellStyle name="Título 1 3 2" xfId="8428" xr:uid="{00000000-0005-0000-0000-0000EC200000}"/>
    <cellStyle name="Título 1 3_BD" xfId="8429" xr:uid="{00000000-0005-0000-0000-0000ED200000}"/>
    <cellStyle name="Título 1 30" xfId="8430" xr:uid="{00000000-0005-0000-0000-0000EE200000}"/>
    <cellStyle name="Título 1 31" xfId="8431" xr:uid="{00000000-0005-0000-0000-0000EF200000}"/>
    <cellStyle name="Título 1 32" xfId="8432" xr:uid="{00000000-0005-0000-0000-0000F0200000}"/>
    <cellStyle name="Título 1 33" xfId="8433" xr:uid="{00000000-0005-0000-0000-0000F1200000}"/>
    <cellStyle name="Título 1 34" xfId="8434" xr:uid="{00000000-0005-0000-0000-0000F2200000}"/>
    <cellStyle name="Título 1 35" xfId="8435" xr:uid="{00000000-0005-0000-0000-0000F3200000}"/>
    <cellStyle name="Título 1 36" xfId="8436" xr:uid="{00000000-0005-0000-0000-0000F4200000}"/>
    <cellStyle name="Título 1 37" xfId="8437" xr:uid="{00000000-0005-0000-0000-0000F5200000}"/>
    <cellStyle name="Título 1 38" xfId="8438" xr:uid="{00000000-0005-0000-0000-0000F6200000}"/>
    <cellStyle name="Título 1 39" xfId="8439" xr:uid="{00000000-0005-0000-0000-0000F7200000}"/>
    <cellStyle name="Título 1 4" xfId="8440" xr:uid="{00000000-0005-0000-0000-0000F8200000}"/>
    <cellStyle name="Título 1 40" xfId="8441" xr:uid="{00000000-0005-0000-0000-0000F9200000}"/>
    <cellStyle name="Título 1 41" xfId="8442" xr:uid="{00000000-0005-0000-0000-0000FA200000}"/>
    <cellStyle name="Título 1 42" xfId="8443" xr:uid="{00000000-0005-0000-0000-0000FB200000}"/>
    <cellStyle name="Título 1 43" xfId="8444" xr:uid="{00000000-0005-0000-0000-0000FC200000}"/>
    <cellStyle name="Título 1 44" xfId="8445" xr:uid="{00000000-0005-0000-0000-0000FD200000}"/>
    <cellStyle name="Título 1 45" xfId="8446" xr:uid="{00000000-0005-0000-0000-0000FE200000}"/>
    <cellStyle name="Título 1 46" xfId="8447" xr:uid="{00000000-0005-0000-0000-0000FF200000}"/>
    <cellStyle name="Título 1 47" xfId="8448" xr:uid="{00000000-0005-0000-0000-000000210000}"/>
    <cellStyle name="Título 1 48" xfId="8449" xr:uid="{00000000-0005-0000-0000-000001210000}"/>
    <cellStyle name="Título 1 49" xfId="8450" xr:uid="{00000000-0005-0000-0000-000002210000}"/>
    <cellStyle name="Título 1 5" xfId="8451" xr:uid="{00000000-0005-0000-0000-000003210000}"/>
    <cellStyle name="Título 1 50" xfId="8452" xr:uid="{00000000-0005-0000-0000-000004210000}"/>
    <cellStyle name="Título 1 51" xfId="8453" xr:uid="{00000000-0005-0000-0000-000005210000}"/>
    <cellStyle name="Título 1 52" xfId="8454" xr:uid="{00000000-0005-0000-0000-000006210000}"/>
    <cellStyle name="Título 1 53" xfId="8455" xr:uid="{00000000-0005-0000-0000-000007210000}"/>
    <cellStyle name="Título 1 54" xfId="8456" xr:uid="{00000000-0005-0000-0000-000008210000}"/>
    <cellStyle name="Título 1 55" xfId="8457" xr:uid="{00000000-0005-0000-0000-000009210000}"/>
    <cellStyle name="Título 1 56" xfId="8458" xr:uid="{00000000-0005-0000-0000-00000A210000}"/>
    <cellStyle name="Título 1 57" xfId="8459" xr:uid="{00000000-0005-0000-0000-00000B210000}"/>
    <cellStyle name="Título 1 58" xfId="8460" xr:uid="{00000000-0005-0000-0000-00000C210000}"/>
    <cellStyle name="Título 1 59" xfId="8461" xr:uid="{00000000-0005-0000-0000-00000D210000}"/>
    <cellStyle name="Título 1 6" xfId="8462" xr:uid="{00000000-0005-0000-0000-00000E210000}"/>
    <cellStyle name="Título 1 60" xfId="8463" xr:uid="{00000000-0005-0000-0000-00000F210000}"/>
    <cellStyle name="Título 1 61" xfId="8464" xr:uid="{00000000-0005-0000-0000-000010210000}"/>
    <cellStyle name="Título 1 62" xfId="8465" xr:uid="{00000000-0005-0000-0000-000011210000}"/>
    <cellStyle name="Título 1 63" xfId="8466" xr:uid="{00000000-0005-0000-0000-000012210000}"/>
    <cellStyle name="Título 1 64" xfId="8467" xr:uid="{00000000-0005-0000-0000-000013210000}"/>
    <cellStyle name="Título 1 65" xfId="8468" xr:uid="{00000000-0005-0000-0000-000014210000}"/>
    <cellStyle name="Título 1 66" xfId="8469" xr:uid="{00000000-0005-0000-0000-000015210000}"/>
    <cellStyle name="Título 1 67" xfId="8470" xr:uid="{00000000-0005-0000-0000-000016210000}"/>
    <cellStyle name="Título 1 68" xfId="8471" xr:uid="{00000000-0005-0000-0000-000017210000}"/>
    <cellStyle name="Título 1 69" xfId="8472" xr:uid="{00000000-0005-0000-0000-000018210000}"/>
    <cellStyle name="Título 1 7" xfId="8473" xr:uid="{00000000-0005-0000-0000-000019210000}"/>
    <cellStyle name="Título 1 70" xfId="8474" xr:uid="{00000000-0005-0000-0000-00001A210000}"/>
    <cellStyle name="Título 1 71" xfId="8475" xr:uid="{00000000-0005-0000-0000-00001B210000}"/>
    <cellStyle name="Título 1 72" xfId="8476" xr:uid="{00000000-0005-0000-0000-00001C210000}"/>
    <cellStyle name="Título 1 73" xfId="8477" xr:uid="{00000000-0005-0000-0000-00001D210000}"/>
    <cellStyle name="Título 1 74" xfId="8478" xr:uid="{00000000-0005-0000-0000-00001E210000}"/>
    <cellStyle name="Título 1 75" xfId="8479" xr:uid="{00000000-0005-0000-0000-00001F210000}"/>
    <cellStyle name="Título 1 76" xfId="8480" xr:uid="{00000000-0005-0000-0000-000020210000}"/>
    <cellStyle name="Título 1 77" xfId="8481" xr:uid="{00000000-0005-0000-0000-000021210000}"/>
    <cellStyle name="Título 1 78" xfId="8482" xr:uid="{00000000-0005-0000-0000-000022210000}"/>
    <cellStyle name="Título 1 79" xfId="8483" xr:uid="{00000000-0005-0000-0000-000023210000}"/>
    <cellStyle name="Título 1 8" xfId="8484" xr:uid="{00000000-0005-0000-0000-000024210000}"/>
    <cellStyle name="Título 1 80" xfId="8485" xr:uid="{00000000-0005-0000-0000-000025210000}"/>
    <cellStyle name="Título 1 81" xfId="8486" xr:uid="{00000000-0005-0000-0000-000026210000}"/>
    <cellStyle name="Título 1 82" xfId="8487" xr:uid="{00000000-0005-0000-0000-000027210000}"/>
    <cellStyle name="Título 1 83" xfId="8488" xr:uid="{00000000-0005-0000-0000-000028210000}"/>
    <cellStyle name="Título 1 84" xfId="8489" xr:uid="{00000000-0005-0000-0000-000029210000}"/>
    <cellStyle name="Título 1 85" xfId="8490" xr:uid="{00000000-0005-0000-0000-00002A210000}"/>
    <cellStyle name="Título 1 86" xfId="8491" xr:uid="{00000000-0005-0000-0000-00002B210000}"/>
    <cellStyle name="Título 1 87" xfId="8492" xr:uid="{00000000-0005-0000-0000-00002C210000}"/>
    <cellStyle name="Título 1 88" xfId="8493" xr:uid="{00000000-0005-0000-0000-00002D210000}"/>
    <cellStyle name="Título 1 89" xfId="8494" xr:uid="{00000000-0005-0000-0000-00002E210000}"/>
    <cellStyle name="Título 1 9" xfId="8495" xr:uid="{00000000-0005-0000-0000-00002F210000}"/>
    <cellStyle name="Título 1 90" xfId="8496" xr:uid="{00000000-0005-0000-0000-000030210000}"/>
    <cellStyle name="Título 1 91" xfId="8497" xr:uid="{00000000-0005-0000-0000-000031210000}"/>
    <cellStyle name="Título 1 92" xfId="8498" xr:uid="{00000000-0005-0000-0000-000032210000}"/>
    <cellStyle name="Título 1 93" xfId="8499" xr:uid="{00000000-0005-0000-0000-000033210000}"/>
    <cellStyle name="Título 1 94" xfId="8500" xr:uid="{00000000-0005-0000-0000-000034210000}"/>
    <cellStyle name="Título 1 95" xfId="8501" xr:uid="{00000000-0005-0000-0000-000035210000}"/>
    <cellStyle name="Título 1 96" xfId="8502" xr:uid="{00000000-0005-0000-0000-000036210000}"/>
    <cellStyle name="Título 1 97" xfId="8503" xr:uid="{00000000-0005-0000-0000-000037210000}"/>
    <cellStyle name="Título 1 98" xfId="8504" xr:uid="{00000000-0005-0000-0000-000038210000}"/>
    <cellStyle name="Título 1 99" xfId="8505" xr:uid="{00000000-0005-0000-0000-000039210000}"/>
    <cellStyle name="Título 10" xfId="8506" xr:uid="{00000000-0005-0000-0000-00003A210000}"/>
    <cellStyle name="Título 11" xfId="8507" xr:uid="{00000000-0005-0000-0000-00003B210000}"/>
    <cellStyle name="Título 12" xfId="8508" xr:uid="{00000000-0005-0000-0000-00003C210000}"/>
    <cellStyle name="Título 13" xfId="8509" xr:uid="{00000000-0005-0000-0000-00003D210000}"/>
    <cellStyle name="Título 14" xfId="8510" xr:uid="{00000000-0005-0000-0000-00003E210000}"/>
    <cellStyle name="Título 15" xfId="8511" xr:uid="{00000000-0005-0000-0000-00003F210000}"/>
    <cellStyle name="Título 16" xfId="8512" xr:uid="{00000000-0005-0000-0000-000040210000}"/>
    <cellStyle name="Título 17" xfId="8513" xr:uid="{00000000-0005-0000-0000-000041210000}"/>
    <cellStyle name="Título 18" xfId="8514" xr:uid="{00000000-0005-0000-0000-000042210000}"/>
    <cellStyle name="Título 19" xfId="8515" xr:uid="{00000000-0005-0000-0000-000043210000}"/>
    <cellStyle name="Título 2 10" xfId="8516" xr:uid="{00000000-0005-0000-0000-000044210000}"/>
    <cellStyle name="Título 2 100" xfId="8517" xr:uid="{00000000-0005-0000-0000-000045210000}"/>
    <cellStyle name="Título 2 101" xfId="8518" xr:uid="{00000000-0005-0000-0000-000046210000}"/>
    <cellStyle name="Título 2 102" xfId="8519" xr:uid="{00000000-0005-0000-0000-000047210000}"/>
    <cellStyle name="Título 2 103" xfId="8520" xr:uid="{00000000-0005-0000-0000-000048210000}"/>
    <cellStyle name="Título 2 104" xfId="8521" xr:uid="{00000000-0005-0000-0000-000049210000}"/>
    <cellStyle name="Título 2 105" xfId="8522" xr:uid="{00000000-0005-0000-0000-00004A210000}"/>
    <cellStyle name="Título 2 106" xfId="8523" xr:uid="{00000000-0005-0000-0000-00004B210000}"/>
    <cellStyle name="Título 2 107" xfId="8524" xr:uid="{00000000-0005-0000-0000-00004C210000}"/>
    <cellStyle name="Título 2 108" xfId="8525" xr:uid="{00000000-0005-0000-0000-00004D210000}"/>
    <cellStyle name="Título 2 109" xfId="8526" xr:uid="{00000000-0005-0000-0000-00004E210000}"/>
    <cellStyle name="Título 2 11" xfId="8527" xr:uid="{00000000-0005-0000-0000-00004F210000}"/>
    <cellStyle name="Título 2 110" xfId="8528" xr:uid="{00000000-0005-0000-0000-000050210000}"/>
    <cellStyle name="Título 2 111" xfId="8529" xr:uid="{00000000-0005-0000-0000-000051210000}"/>
    <cellStyle name="Título 2 112" xfId="8530" xr:uid="{00000000-0005-0000-0000-000052210000}"/>
    <cellStyle name="Título 2 113" xfId="8531" xr:uid="{00000000-0005-0000-0000-000053210000}"/>
    <cellStyle name="Título 2 114" xfId="8532" xr:uid="{00000000-0005-0000-0000-000054210000}"/>
    <cellStyle name="Título 2 115" xfId="8533" xr:uid="{00000000-0005-0000-0000-000055210000}"/>
    <cellStyle name="Título 2 116" xfId="8534" xr:uid="{00000000-0005-0000-0000-000056210000}"/>
    <cellStyle name="Título 2 117" xfId="8535" xr:uid="{00000000-0005-0000-0000-000057210000}"/>
    <cellStyle name="Título 2 118" xfId="8536" xr:uid="{00000000-0005-0000-0000-000058210000}"/>
    <cellStyle name="Título 2 119" xfId="8537" xr:uid="{00000000-0005-0000-0000-000059210000}"/>
    <cellStyle name="Título 2 12" xfId="8538" xr:uid="{00000000-0005-0000-0000-00005A210000}"/>
    <cellStyle name="Título 2 120" xfId="8539" xr:uid="{00000000-0005-0000-0000-00005B210000}"/>
    <cellStyle name="Título 2 13" xfId="8540" xr:uid="{00000000-0005-0000-0000-00005C210000}"/>
    <cellStyle name="Título 2 14" xfId="8541" xr:uid="{00000000-0005-0000-0000-00005D210000}"/>
    <cellStyle name="Título 2 15" xfId="8542" xr:uid="{00000000-0005-0000-0000-00005E210000}"/>
    <cellStyle name="Título 2 16" xfId="8543" xr:uid="{00000000-0005-0000-0000-00005F210000}"/>
    <cellStyle name="Título 2 17" xfId="8544" xr:uid="{00000000-0005-0000-0000-000060210000}"/>
    <cellStyle name="Título 2 18" xfId="8545" xr:uid="{00000000-0005-0000-0000-000061210000}"/>
    <cellStyle name="Título 2 19" xfId="8546" xr:uid="{00000000-0005-0000-0000-000062210000}"/>
    <cellStyle name="Título 2 2" xfId="8547" xr:uid="{00000000-0005-0000-0000-000063210000}"/>
    <cellStyle name="Título 2 2 2" xfId="8548" xr:uid="{00000000-0005-0000-0000-000064210000}"/>
    <cellStyle name="Título 2 2 2 2" xfId="8549" xr:uid="{00000000-0005-0000-0000-000065210000}"/>
    <cellStyle name="Título 2 2 2 2 2" xfId="8550" xr:uid="{00000000-0005-0000-0000-000066210000}"/>
    <cellStyle name="Título 2 2 2 2 2 2" xfId="8551" xr:uid="{00000000-0005-0000-0000-000067210000}"/>
    <cellStyle name="Título 2 2 2 3" xfId="8552" xr:uid="{00000000-0005-0000-0000-000068210000}"/>
    <cellStyle name="Título 2 2 2 4" xfId="8553" xr:uid="{00000000-0005-0000-0000-000069210000}"/>
    <cellStyle name="Título 2 2 2_BD" xfId="8554" xr:uid="{00000000-0005-0000-0000-00006A210000}"/>
    <cellStyle name="Título 2 2 3" xfId="8555" xr:uid="{00000000-0005-0000-0000-00006B210000}"/>
    <cellStyle name="Título 2 2 4" xfId="8556" xr:uid="{00000000-0005-0000-0000-00006C210000}"/>
    <cellStyle name="Título 2 2 5" xfId="8557" xr:uid="{00000000-0005-0000-0000-00006D210000}"/>
    <cellStyle name="Título 2 2 6" xfId="8558" xr:uid="{00000000-0005-0000-0000-00006E210000}"/>
    <cellStyle name="Título 2 2 6 2" xfId="8559" xr:uid="{00000000-0005-0000-0000-00006F210000}"/>
    <cellStyle name="Título 2 2_BD" xfId="8560" xr:uid="{00000000-0005-0000-0000-000070210000}"/>
    <cellStyle name="Título 2 20" xfId="8561" xr:uid="{00000000-0005-0000-0000-000071210000}"/>
    <cellStyle name="Título 2 21" xfId="8562" xr:uid="{00000000-0005-0000-0000-000072210000}"/>
    <cellStyle name="Título 2 22" xfId="8563" xr:uid="{00000000-0005-0000-0000-000073210000}"/>
    <cellStyle name="Título 2 23" xfId="8564" xr:uid="{00000000-0005-0000-0000-000074210000}"/>
    <cellStyle name="Título 2 24" xfId="8565" xr:uid="{00000000-0005-0000-0000-000075210000}"/>
    <cellStyle name="Título 2 25" xfId="8566" xr:uid="{00000000-0005-0000-0000-000076210000}"/>
    <cellStyle name="Título 2 26" xfId="8567" xr:uid="{00000000-0005-0000-0000-000077210000}"/>
    <cellStyle name="Título 2 27" xfId="8568" xr:uid="{00000000-0005-0000-0000-000078210000}"/>
    <cellStyle name="Título 2 28" xfId="8569" xr:uid="{00000000-0005-0000-0000-000079210000}"/>
    <cellStyle name="Título 2 29" xfId="8570" xr:uid="{00000000-0005-0000-0000-00007A210000}"/>
    <cellStyle name="Título 2 3" xfId="8571" xr:uid="{00000000-0005-0000-0000-00007B210000}"/>
    <cellStyle name="Título 2 3 2" xfId="8572" xr:uid="{00000000-0005-0000-0000-00007C210000}"/>
    <cellStyle name="Título 2 3_BD" xfId="8573" xr:uid="{00000000-0005-0000-0000-00007D210000}"/>
    <cellStyle name="Título 2 30" xfId="8574" xr:uid="{00000000-0005-0000-0000-00007E210000}"/>
    <cellStyle name="Título 2 31" xfId="8575" xr:uid="{00000000-0005-0000-0000-00007F210000}"/>
    <cellStyle name="Título 2 32" xfId="8576" xr:uid="{00000000-0005-0000-0000-000080210000}"/>
    <cellStyle name="Título 2 33" xfId="8577" xr:uid="{00000000-0005-0000-0000-000081210000}"/>
    <cellStyle name="Título 2 34" xfId="8578" xr:uid="{00000000-0005-0000-0000-000082210000}"/>
    <cellStyle name="Título 2 35" xfId="8579" xr:uid="{00000000-0005-0000-0000-000083210000}"/>
    <cellStyle name="Título 2 36" xfId="8580" xr:uid="{00000000-0005-0000-0000-000084210000}"/>
    <cellStyle name="Título 2 37" xfId="8581" xr:uid="{00000000-0005-0000-0000-000085210000}"/>
    <cellStyle name="Título 2 38" xfId="8582" xr:uid="{00000000-0005-0000-0000-000086210000}"/>
    <cellStyle name="Título 2 39" xfId="8583" xr:uid="{00000000-0005-0000-0000-000087210000}"/>
    <cellStyle name="Título 2 4" xfId="8584" xr:uid="{00000000-0005-0000-0000-000088210000}"/>
    <cellStyle name="Título 2 40" xfId="8585" xr:uid="{00000000-0005-0000-0000-000089210000}"/>
    <cellStyle name="Título 2 41" xfId="8586" xr:uid="{00000000-0005-0000-0000-00008A210000}"/>
    <cellStyle name="Título 2 42" xfId="8587" xr:uid="{00000000-0005-0000-0000-00008B210000}"/>
    <cellStyle name="Título 2 43" xfId="8588" xr:uid="{00000000-0005-0000-0000-00008C210000}"/>
    <cellStyle name="Título 2 44" xfId="8589" xr:uid="{00000000-0005-0000-0000-00008D210000}"/>
    <cellStyle name="Título 2 45" xfId="8590" xr:uid="{00000000-0005-0000-0000-00008E210000}"/>
    <cellStyle name="Título 2 46" xfId="8591" xr:uid="{00000000-0005-0000-0000-00008F210000}"/>
    <cellStyle name="Título 2 47" xfId="8592" xr:uid="{00000000-0005-0000-0000-000090210000}"/>
    <cellStyle name="Título 2 48" xfId="8593" xr:uid="{00000000-0005-0000-0000-000091210000}"/>
    <cellStyle name="Título 2 49" xfId="8594" xr:uid="{00000000-0005-0000-0000-000092210000}"/>
    <cellStyle name="Título 2 5" xfId="8595" xr:uid="{00000000-0005-0000-0000-000093210000}"/>
    <cellStyle name="Título 2 50" xfId="8596" xr:uid="{00000000-0005-0000-0000-000094210000}"/>
    <cellStyle name="Título 2 51" xfId="8597" xr:uid="{00000000-0005-0000-0000-000095210000}"/>
    <cellStyle name="Título 2 52" xfId="8598" xr:uid="{00000000-0005-0000-0000-000096210000}"/>
    <cellStyle name="Título 2 53" xfId="8599" xr:uid="{00000000-0005-0000-0000-000097210000}"/>
    <cellStyle name="Título 2 54" xfId="8600" xr:uid="{00000000-0005-0000-0000-000098210000}"/>
    <cellStyle name="Título 2 55" xfId="8601" xr:uid="{00000000-0005-0000-0000-000099210000}"/>
    <cellStyle name="Título 2 56" xfId="8602" xr:uid="{00000000-0005-0000-0000-00009A210000}"/>
    <cellStyle name="Título 2 57" xfId="8603" xr:uid="{00000000-0005-0000-0000-00009B210000}"/>
    <cellStyle name="Título 2 58" xfId="8604" xr:uid="{00000000-0005-0000-0000-00009C210000}"/>
    <cellStyle name="Título 2 59" xfId="8605" xr:uid="{00000000-0005-0000-0000-00009D210000}"/>
    <cellStyle name="Título 2 6" xfId="8606" xr:uid="{00000000-0005-0000-0000-00009E210000}"/>
    <cellStyle name="Título 2 60" xfId="8607" xr:uid="{00000000-0005-0000-0000-00009F210000}"/>
    <cellStyle name="Título 2 61" xfId="8608" xr:uid="{00000000-0005-0000-0000-0000A0210000}"/>
    <cellStyle name="Título 2 62" xfId="8609" xr:uid="{00000000-0005-0000-0000-0000A1210000}"/>
    <cellStyle name="Título 2 63" xfId="8610" xr:uid="{00000000-0005-0000-0000-0000A2210000}"/>
    <cellStyle name="Título 2 64" xfId="8611" xr:uid="{00000000-0005-0000-0000-0000A3210000}"/>
    <cellStyle name="Título 2 65" xfId="8612" xr:uid="{00000000-0005-0000-0000-0000A4210000}"/>
    <cellStyle name="Título 2 66" xfId="8613" xr:uid="{00000000-0005-0000-0000-0000A5210000}"/>
    <cellStyle name="Título 2 67" xfId="8614" xr:uid="{00000000-0005-0000-0000-0000A6210000}"/>
    <cellStyle name="Título 2 68" xfId="8615" xr:uid="{00000000-0005-0000-0000-0000A7210000}"/>
    <cellStyle name="Título 2 69" xfId="8616" xr:uid="{00000000-0005-0000-0000-0000A8210000}"/>
    <cellStyle name="Título 2 7" xfId="8617" xr:uid="{00000000-0005-0000-0000-0000A9210000}"/>
    <cellStyle name="Título 2 70" xfId="8618" xr:uid="{00000000-0005-0000-0000-0000AA210000}"/>
    <cellStyle name="Título 2 71" xfId="8619" xr:uid="{00000000-0005-0000-0000-0000AB210000}"/>
    <cellStyle name="Título 2 72" xfId="8620" xr:uid="{00000000-0005-0000-0000-0000AC210000}"/>
    <cellStyle name="Título 2 73" xfId="8621" xr:uid="{00000000-0005-0000-0000-0000AD210000}"/>
    <cellStyle name="Título 2 74" xfId="8622" xr:uid="{00000000-0005-0000-0000-0000AE210000}"/>
    <cellStyle name="Título 2 75" xfId="8623" xr:uid="{00000000-0005-0000-0000-0000AF210000}"/>
    <cellStyle name="Título 2 76" xfId="8624" xr:uid="{00000000-0005-0000-0000-0000B0210000}"/>
    <cellStyle name="Título 2 77" xfId="8625" xr:uid="{00000000-0005-0000-0000-0000B1210000}"/>
    <cellStyle name="Título 2 78" xfId="8626" xr:uid="{00000000-0005-0000-0000-0000B2210000}"/>
    <cellStyle name="Título 2 79" xfId="8627" xr:uid="{00000000-0005-0000-0000-0000B3210000}"/>
    <cellStyle name="Título 2 8" xfId="8628" xr:uid="{00000000-0005-0000-0000-0000B4210000}"/>
    <cellStyle name="Título 2 80" xfId="8629" xr:uid="{00000000-0005-0000-0000-0000B5210000}"/>
    <cellStyle name="Título 2 81" xfId="8630" xr:uid="{00000000-0005-0000-0000-0000B6210000}"/>
    <cellStyle name="Título 2 82" xfId="8631" xr:uid="{00000000-0005-0000-0000-0000B7210000}"/>
    <cellStyle name="Título 2 83" xfId="8632" xr:uid="{00000000-0005-0000-0000-0000B8210000}"/>
    <cellStyle name="Título 2 84" xfId="8633" xr:uid="{00000000-0005-0000-0000-0000B9210000}"/>
    <cellStyle name="Título 2 85" xfId="8634" xr:uid="{00000000-0005-0000-0000-0000BA210000}"/>
    <cellStyle name="Título 2 86" xfId="8635" xr:uid="{00000000-0005-0000-0000-0000BB210000}"/>
    <cellStyle name="Título 2 87" xfId="8636" xr:uid="{00000000-0005-0000-0000-0000BC210000}"/>
    <cellStyle name="Título 2 88" xfId="8637" xr:uid="{00000000-0005-0000-0000-0000BD210000}"/>
    <cellStyle name="Título 2 89" xfId="8638" xr:uid="{00000000-0005-0000-0000-0000BE210000}"/>
    <cellStyle name="Título 2 9" xfId="8639" xr:uid="{00000000-0005-0000-0000-0000BF210000}"/>
    <cellStyle name="Título 2 90" xfId="8640" xr:uid="{00000000-0005-0000-0000-0000C0210000}"/>
    <cellStyle name="Título 2 91" xfId="8641" xr:uid="{00000000-0005-0000-0000-0000C1210000}"/>
    <cellStyle name="Título 2 92" xfId="8642" xr:uid="{00000000-0005-0000-0000-0000C2210000}"/>
    <cellStyle name="Título 2 93" xfId="8643" xr:uid="{00000000-0005-0000-0000-0000C3210000}"/>
    <cellStyle name="Título 2 94" xfId="8644" xr:uid="{00000000-0005-0000-0000-0000C4210000}"/>
    <cellStyle name="Título 2 95" xfId="8645" xr:uid="{00000000-0005-0000-0000-0000C5210000}"/>
    <cellStyle name="Título 2 96" xfId="8646" xr:uid="{00000000-0005-0000-0000-0000C6210000}"/>
    <cellStyle name="Título 2 97" xfId="8647" xr:uid="{00000000-0005-0000-0000-0000C7210000}"/>
    <cellStyle name="Título 2 98" xfId="8648" xr:uid="{00000000-0005-0000-0000-0000C8210000}"/>
    <cellStyle name="Título 2 99" xfId="8649" xr:uid="{00000000-0005-0000-0000-0000C9210000}"/>
    <cellStyle name="Título 20" xfId="8650" xr:uid="{00000000-0005-0000-0000-0000CA210000}"/>
    <cellStyle name="Título 21" xfId="8651" xr:uid="{00000000-0005-0000-0000-0000CB210000}"/>
    <cellStyle name="Título 22" xfId="8652" xr:uid="{00000000-0005-0000-0000-0000CC210000}"/>
    <cellStyle name="Título 23" xfId="8653" xr:uid="{00000000-0005-0000-0000-0000CD210000}"/>
    <cellStyle name="Título 24" xfId="8654" xr:uid="{00000000-0005-0000-0000-0000CE210000}"/>
    <cellStyle name="Título 25" xfId="8655" xr:uid="{00000000-0005-0000-0000-0000CF210000}"/>
    <cellStyle name="Título 26" xfId="8656" xr:uid="{00000000-0005-0000-0000-0000D0210000}"/>
    <cellStyle name="Título 27" xfId="8657" xr:uid="{00000000-0005-0000-0000-0000D1210000}"/>
    <cellStyle name="Título 28" xfId="8658" xr:uid="{00000000-0005-0000-0000-0000D2210000}"/>
    <cellStyle name="Título 29" xfId="8659" xr:uid="{00000000-0005-0000-0000-0000D3210000}"/>
    <cellStyle name="Título 3 10" xfId="8660" xr:uid="{00000000-0005-0000-0000-0000D4210000}"/>
    <cellStyle name="Título 3 10 2" xfId="8661" xr:uid="{00000000-0005-0000-0000-0000D5210000}"/>
    <cellStyle name="Título 3 10 3" xfId="8662" xr:uid="{00000000-0005-0000-0000-0000D6210000}"/>
    <cellStyle name="Título 3 10 4" xfId="8663" xr:uid="{00000000-0005-0000-0000-0000D7210000}"/>
    <cellStyle name="Título 3 100" xfId="8664" xr:uid="{00000000-0005-0000-0000-0000D8210000}"/>
    <cellStyle name="Título 3 101" xfId="8665" xr:uid="{00000000-0005-0000-0000-0000D9210000}"/>
    <cellStyle name="Título 3 102" xfId="8666" xr:uid="{00000000-0005-0000-0000-0000DA210000}"/>
    <cellStyle name="Título 3 103" xfId="8667" xr:uid="{00000000-0005-0000-0000-0000DB210000}"/>
    <cellStyle name="Título 3 104" xfId="8668" xr:uid="{00000000-0005-0000-0000-0000DC210000}"/>
    <cellStyle name="Título 3 105" xfId="8669" xr:uid="{00000000-0005-0000-0000-0000DD210000}"/>
    <cellStyle name="Título 3 106" xfId="8670" xr:uid="{00000000-0005-0000-0000-0000DE210000}"/>
    <cellStyle name="Título 3 107" xfId="8671" xr:uid="{00000000-0005-0000-0000-0000DF210000}"/>
    <cellStyle name="Título 3 108" xfId="8672" xr:uid="{00000000-0005-0000-0000-0000E0210000}"/>
    <cellStyle name="Título 3 109" xfId="8673" xr:uid="{00000000-0005-0000-0000-0000E1210000}"/>
    <cellStyle name="Título 3 11" xfId="8674" xr:uid="{00000000-0005-0000-0000-0000E2210000}"/>
    <cellStyle name="Título 3 11 2" xfId="8675" xr:uid="{00000000-0005-0000-0000-0000E3210000}"/>
    <cellStyle name="Título 3 11 3" xfId="8676" xr:uid="{00000000-0005-0000-0000-0000E4210000}"/>
    <cellStyle name="Título 3 11 4" xfId="8677" xr:uid="{00000000-0005-0000-0000-0000E5210000}"/>
    <cellStyle name="Título 3 110" xfId="8678" xr:uid="{00000000-0005-0000-0000-0000E6210000}"/>
    <cellStyle name="Título 3 111" xfId="8679" xr:uid="{00000000-0005-0000-0000-0000E7210000}"/>
    <cellStyle name="Título 3 112" xfId="8680" xr:uid="{00000000-0005-0000-0000-0000E8210000}"/>
    <cellStyle name="Título 3 113" xfId="8681" xr:uid="{00000000-0005-0000-0000-0000E9210000}"/>
    <cellStyle name="Título 3 114" xfId="8682" xr:uid="{00000000-0005-0000-0000-0000EA210000}"/>
    <cellStyle name="Título 3 115" xfId="8683" xr:uid="{00000000-0005-0000-0000-0000EB210000}"/>
    <cellStyle name="Título 3 116" xfId="8684" xr:uid="{00000000-0005-0000-0000-0000EC210000}"/>
    <cellStyle name="Título 3 117" xfId="8685" xr:uid="{00000000-0005-0000-0000-0000ED210000}"/>
    <cellStyle name="Título 3 118" xfId="8686" xr:uid="{00000000-0005-0000-0000-0000EE210000}"/>
    <cellStyle name="Título 3 119" xfId="8687" xr:uid="{00000000-0005-0000-0000-0000EF210000}"/>
    <cellStyle name="Título 3 12" xfId="8688" xr:uid="{00000000-0005-0000-0000-0000F0210000}"/>
    <cellStyle name="Título 3 12 2" xfId="8689" xr:uid="{00000000-0005-0000-0000-0000F1210000}"/>
    <cellStyle name="Título 3 12 3" xfId="8690" xr:uid="{00000000-0005-0000-0000-0000F2210000}"/>
    <cellStyle name="Título 3 12 4" xfId="8691" xr:uid="{00000000-0005-0000-0000-0000F3210000}"/>
    <cellStyle name="Título 3 120" xfId="8692" xr:uid="{00000000-0005-0000-0000-0000F4210000}"/>
    <cellStyle name="Título 3 13" xfId="8693" xr:uid="{00000000-0005-0000-0000-0000F5210000}"/>
    <cellStyle name="Título 3 13 2" xfId="8694" xr:uid="{00000000-0005-0000-0000-0000F6210000}"/>
    <cellStyle name="Título 3 13 3" xfId="8695" xr:uid="{00000000-0005-0000-0000-0000F7210000}"/>
    <cellStyle name="Título 3 13 4" xfId="8696" xr:uid="{00000000-0005-0000-0000-0000F8210000}"/>
    <cellStyle name="Título 3 14" xfId="8697" xr:uid="{00000000-0005-0000-0000-0000F9210000}"/>
    <cellStyle name="Título 3 14 2" xfId="8698" xr:uid="{00000000-0005-0000-0000-0000FA210000}"/>
    <cellStyle name="Título 3 14 3" xfId="8699" xr:uid="{00000000-0005-0000-0000-0000FB210000}"/>
    <cellStyle name="Título 3 14 4" xfId="8700" xr:uid="{00000000-0005-0000-0000-0000FC210000}"/>
    <cellStyle name="Título 3 15" xfId="8701" xr:uid="{00000000-0005-0000-0000-0000FD210000}"/>
    <cellStyle name="Título 3 15 2" xfId="8702" xr:uid="{00000000-0005-0000-0000-0000FE210000}"/>
    <cellStyle name="Título 3 15 3" xfId="8703" xr:uid="{00000000-0005-0000-0000-0000FF210000}"/>
    <cellStyle name="Título 3 15 4" xfId="8704" xr:uid="{00000000-0005-0000-0000-000000220000}"/>
    <cellStyle name="Título 3 16" xfId="8705" xr:uid="{00000000-0005-0000-0000-000001220000}"/>
    <cellStyle name="Título 3 16 2" xfId="8706" xr:uid="{00000000-0005-0000-0000-000002220000}"/>
    <cellStyle name="Título 3 16 3" xfId="8707" xr:uid="{00000000-0005-0000-0000-000003220000}"/>
    <cellStyle name="Título 3 16 4" xfId="8708" xr:uid="{00000000-0005-0000-0000-000004220000}"/>
    <cellStyle name="Título 3 17" xfId="8709" xr:uid="{00000000-0005-0000-0000-000005220000}"/>
    <cellStyle name="Título 3 17 2" xfId="8710" xr:uid="{00000000-0005-0000-0000-000006220000}"/>
    <cellStyle name="Título 3 17 3" xfId="8711" xr:uid="{00000000-0005-0000-0000-000007220000}"/>
    <cellStyle name="Título 3 17 4" xfId="8712" xr:uid="{00000000-0005-0000-0000-000008220000}"/>
    <cellStyle name="Título 3 18" xfId="8713" xr:uid="{00000000-0005-0000-0000-000009220000}"/>
    <cellStyle name="Título 3 18 2" xfId="8714" xr:uid="{00000000-0005-0000-0000-00000A220000}"/>
    <cellStyle name="Título 3 18 3" xfId="8715" xr:uid="{00000000-0005-0000-0000-00000B220000}"/>
    <cellStyle name="Título 3 18 4" xfId="8716" xr:uid="{00000000-0005-0000-0000-00000C220000}"/>
    <cellStyle name="Título 3 19" xfId="8717" xr:uid="{00000000-0005-0000-0000-00000D220000}"/>
    <cellStyle name="Título 3 19 2" xfId="8718" xr:uid="{00000000-0005-0000-0000-00000E220000}"/>
    <cellStyle name="Título 3 19 3" xfId="8719" xr:uid="{00000000-0005-0000-0000-00000F220000}"/>
    <cellStyle name="Título 3 19 4" xfId="8720" xr:uid="{00000000-0005-0000-0000-000010220000}"/>
    <cellStyle name="Título 3 2" xfId="8721" xr:uid="{00000000-0005-0000-0000-000011220000}"/>
    <cellStyle name="Título 3 2 2" xfId="8722" xr:uid="{00000000-0005-0000-0000-000012220000}"/>
    <cellStyle name="Título 3 2 2 2" xfId="8723" xr:uid="{00000000-0005-0000-0000-000013220000}"/>
    <cellStyle name="Título 3 2 2 2 2" xfId="8724" xr:uid="{00000000-0005-0000-0000-000014220000}"/>
    <cellStyle name="Título 3 2 2 2 2 2" xfId="8725" xr:uid="{00000000-0005-0000-0000-000015220000}"/>
    <cellStyle name="Título 3 2 2 3" xfId="8726" xr:uid="{00000000-0005-0000-0000-000016220000}"/>
    <cellStyle name="Título 3 2 2 4" xfId="8727" xr:uid="{00000000-0005-0000-0000-000017220000}"/>
    <cellStyle name="Título 3 2 2_BD" xfId="8728" xr:uid="{00000000-0005-0000-0000-000018220000}"/>
    <cellStyle name="Título 3 2 3" xfId="8729" xr:uid="{00000000-0005-0000-0000-000019220000}"/>
    <cellStyle name="Título 3 2 4" xfId="8730" xr:uid="{00000000-0005-0000-0000-00001A220000}"/>
    <cellStyle name="Título 3 2 5" xfId="8731" xr:uid="{00000000-0005-0000-0000-00001B220000}"/>
    <cellStyle name="Título 3 2 6" xfId="8732" xr:uid="{00000000-0005-0000-0000-00001C220000}"/>
    <cellStyle name="Título 3 2 6 2" xfId="8733" xr:uid="{00000000-0005-0000-0000-00001D220000}"/>
    <cellStyle name="Título 3 2_BD" xfId="8734" xr:uid="{00000000-0005-0000-0000-00001E220000}"/>
    <cellStyle name="Título 3 20" xfId="8735" xr:uid="{00000000-0005-0000-0000-00001F220000}"/>
    <cellStyle name="Título 3 20 2" xfId="8736" xr:uid="{00000000-0005-0000-0000-000020220000}"/>
    <cellStyle name="Título 3 20 3" xfId="8737" xr:uid="{00000000-0005-0000-0000-000021220000}"/>
    <cellStyle name="Título 3 20 4" xfId="8738" xr:uid="{00000000-0005-0000-0000-000022220000}"/>
    <cellStyle name="Título 3 21" xfId="8739" xr:uid="{00000000-0005-0000-0000-000023220000}"/>
    <cellStyle name="Título 3 21 2" xfId="8740" xr:uid="{00000000-0005-0000-0000-000024220000}"/>
    <cellStyle name="Título 3 21 3" xfId="8741" xr:uid="{00000000-0005-0000-0000-000025220000}"/>
    <cellStyle name="Título 3 21 4" xfId="8742" xr:uid="{00000000-0005-0000-0000-000026220000}"/>
    <cellStyle name="Título 3 22" xfId="8743" xr:uid="{00000000-0005-0000-0000-000027220000}"/>
    <cellStyle name="Título 3 22 2" xfId="8744" xr:uid="{00000000-0005-0000-0000-000028220000}"/>
    <cellStyle name="Título 3 22 3" xfId="8745" xr:uid="{00000000-0005-0000-0000-000029220000}"/>
    <cellStyle name="Título 3 22 4" xfId="8746" xr:uid="{00000000-0005-0000-0000-00002A220000}"/>
    <cellStyle name="Título 3 23" xfId="8747" xr:uid="{00000000-0005-0000-0000-00002B220000}"/>
    <cellStyle name="Título 3 23 2" xfId="8748" xr:uid="{00000000-0005-0000-0000-00002C220000}"/>
    <cellStyle name="Título 3 23 3" xfId="8749" xr:uid="{00000000-0005-0000-0000-00002D220000}"/>
    <cellStyle name="Título 3 23 4" xfId="8750" xr:uid="{00000000-0005-0000-0000-00002E220000}"/>
    <cellStyle name="Título 3 24" xfId="8751" xr:uid="{00000000-0005-0000-0000-00002F220000}"/>
    <cellStyle name="Título 3 24 2" xfId="8752" xr:uid="{00000000-0005-0000-0000-000030220000}"/>
    <cellStyle name="Título 3 24 3" xfId="8753" xr:uid="{00000000-0005-0000-0000-000031220000}"/>
    <cellStyle name="Título 3 24 4" xfId="8754" xr:uid="{00000000-0005-0000-0000-000032220000}"/>
    <cellStyle name="Título 3 25" xfId="8755" xr:uid="{00000000-0005-0000-0000-000033220000}"/>
    <cellStyle name="Título 3 25 2" xfId="8756" xr:uid="{00000000-0005-0000-0000-000034220000}"/>
    <cellStyle name="Título 3 25 3" xfId="8757" xr:uid="{00000000-0005-0000-0000-000035220000}"/>
    <cellStyle name="Título 3 25 4" xfId="8758" xr:uid="{00000000-0005-0000-0000-000036220000}"/>
    <cellStyle name="Título 3 26" xfId="8759" xr:uid="{00000000-0005-0000-0000-000037220000}"/>
    <cellStyle name="Título 3 26 2" xfId="8760" xr:uid="{00000000-0005-0000-0000-000038220000}"/>
    <cellStyle name="Título 3 26 3" xfId="8761" xr:uid="{00000000-0005-0000-0000-000039220000}"/>
    <cellStyle name="Título 3 26 4" xfId="8762" xr:uid="{00000000-0005-0000-0000-00003A220000}"/>
    <cellStyle name="Título 3 27" xfId="8763" xr:uid="{00000000-0005-0000-0000-00003B220000}"/>
    <cellStyle name="Título 3 27 2" xfId="8764" xr:uid="{00000000-0005-0000-0000-00003C220000}"/>
    <cellStyle name="Título 3 27 3" xfId="8765" xr:uid="{00000000-0005-0000-0000-00003D220000}"/>
    <cellStyle name="Título 3 27 4" xfId="8766" xr:uid="{00000000-0005-0000-0000-00003E220000}"/>
    <cellStyle name="Título 3 28" xfId="8767" xr:uid="{00000000-0005-0000-0000-00003F220000}"/>
    <cellStyle name="Título 3 28 2" xfId="8768" xr:uid="{00000000-0005-0000-0000-000040220000}"/>
    <cellStyle name="Título 3 28 3" xfId="8769" xr:uid="{00000000-0005-0000-0000-000041220000}"/>
    <cellStyle name="Título 3 28 4" xfId="8770" xr:uid="{00000000-0005-0000-0000-000042220000}"/>
    <cellStyle name="Título 3 28_Plan1" xfId="8771" xr:uid="{00000000-0005-0000-0000-000043220000}"/>
    <cellStyle name="Título 3 29" xfId="8772" xr:uid="{00000000-0005-0000-0000-000044220000}"/>
    <cellStyle name="Título 3 29 2" xfId="8773" xr:uid="{00000000-0005-0000-0000-000045220000}"/>
    <cellStyle name="Título 3 29 3" xfId="8774" xr:uid="{00000000-0005-0000-0000-000046220000}"/>
    <cellStyle name="Título 3 29 4" xfId="8775" xr:uid="{00000000-0005-0000-0000-000047220000}"/>
    <cellStyle name="Título 3 29_Plan1" xfId="8776" xr:uid="{00000000-0005-0000-0000-000048220000}"/>
    <cellStyle name="Título 3 3" xfId="8777" xr:uid="{00000000-0005-0000-0000-000049220000}"/>
    <cellStyle name="Título 3 3 2" xfId="8778" xr:uid="{00000000-0005-0000-0000-00004A220000}"/>
    <cellStyle name="Título 3 3 2 2" xfId="8779" xr:uid="{00000000-0005-0000-0000-00004B220000}"/>
    <cellStyle name="Título 3 3 2_Estoque Atual" xfId="8780" xr:uid="{00000000-0005-0000-0000-00004C220000}"/>
    <cellStyle name="Título 3 3 3" xfId="8781" xr:uid="{00000000-0005-0000-0000-00004D220000}"/>
    <cellStyle name="Título 3 3 4" xfId="8782" xr:uid="{00000000-0005-0000-0000-00004E220000}"/>
    <cellStyle name="Título 3 3_BD" xfId="8783" xr:uid="{00000000-0005-0000-0000-00004F220000}"/>
    <cellStyle name="Título 3 30" xfId="8784" xr:uid="{00000000-0005-0000-0000-000050220000}"/>
    <cellStyle name="Título 3 31" xfId="8785" xr:uid="{00000000-0005-0000-0000-000051220000}"/>
    <cellStyle name="Título 3 32" xfId="8786" xr:uid="{00000000-0005-0000-0000-000052220000}"/>
    <cellStyle name="Título 3 33" xfId="8787" xr:uid="{00000000-0005-0000-0000-000053220000}"/>
    <cellStyle name="Título 3 34" xfId="8788" xr:uid="{00000000-0005-0000-0000-000054220000}"/>
    <cellStyle name="Título 3 35" xfId="8789" xr:uid="{00000000-0005-0000-0000-000055220000}"/>
    <cellStyle name="Título 3 35 2" xfId="8790" xr:uid="{00000000-0005-0000-0000-000056220000}"/>
    <cellStyle name="Título 3 35 3" xfId="8791" xr:uid="{00000000-0005-0000-0000-000057220000}"/>
    <cellStyle name="Título 3 35 4" xfId="8792" xr:uid="{00000000-0005-0000-0000-000058220000}"/>
    <cellStyle name="Título 3 35_Plan1" xfId="8793" xr:uid="{00000000-0005-0000-0000-000059220000}"/>
    <cellStyle name="Título 3 36" xfId="8794" xr:uid="{00000000-0005-0000-0000-00005A220000}"/>
    <cellStyle name="Título 3 37" xfId="8795" xr:uid="{00000000-0005-0000-0000-00005B220000}"/>
    <cellStyle name="Título 3 38" xfId="8796" xr:uid="{00000000-0005-0000-0000-00005C220000}"/>
    <cellStyle name="Título 3 39" xfId="8797" xr:uid="{00000000-0005-0000-0000-00005D220000}"/>
    <cellStyle name="Título 3 4" xfId="8798" xr:uid="{00000000-0005-0000-0000-00005E220000}"/>
    <cellStyle name="Título 3 4 2" xfId="8799" xr:uid="{00000000-0005-0000-0000-00005F220000}"/>
    <cellStyle name="Título 3 4 3" xfId="8800" xr:uid="{00000000-0005-0000-0000-000060220000}"/>
    <cellStyle name="Título 3 4 4" xfId="8801" xr:uid="{00000000-0005-0000-0000-000061220000}"/>
    <cellStyle name="Título 3 4_Plan1" xfId="8802" xr:uid="{00000000-0005-0000-0000-000062220000}"/>
    <cellStyle name="Título 3 40" xfId="8803" xr:uid="{00000000-0005-0000-0000-000063220000}"/>
    <cellStyle name="Título 3 41" xfId="8804" xr:uid="{00000000-0005-0000-0000-000064220000}"/>
    <cellStyle name="Título 3 42" xfId="8805" xr:uid="{00000000-0005-0000-0000-000065220000}"/>
    <cellStyle name="Título 3 43" xfId="8806" xr:uid="{00000000-0005-0000-0000-000066220000}"/>
    <cellStyle name="Título 3 44" xfId="8807" xr:uid="{00000000-0005-0000-0000-000067220000}"/>
    <cellStyle name="Título 3 45" xfId="8808" xr:uid="{00000000-0005-0000-0000-000068220000}"/>
    <cellStyle name="Título 3 46" xfId="8809" xr:uid="{00000000-0005-0000-0000-000069220000}"/>
    <cellStyle name="Título 3 47" xfId="8810" xr:uid="{00000000-0005-0000-0000-00006A220000}"/>
    <cellStyle name="Título 3 48" xfId="8811" xr:uid="{00000000-0005-0000-0000-00006B220000}"/>
    <cellStyle name="Título 3 49" xfId="8812" xr:uid="{00000000-0005-0000-0000-00006C220000}"/>
    <cellStyle name="Título 3 5" xfId="8813" xr:uid="{00000000-0005-0000-0000-00006D220000}"/>
    <cellStyle name="Título 3 5 2" xfId="8814" xr:uid="{00000000-0005-0000-0000-00006E220000}"/>
    <cellStyle name="Título 3 5 3" xfId="8815" xr:uid="{00000000-0005-0000-0000-00006F220000}"/>
    <cellStyle name="Título 3 5 4" xfId="8816" xr:uid="{00000000-0005-0000-0000-000070220000}"/>
    <cellStyle name="Título 3 5_Plan1" xfId="8817" xr:uid="{00000000-0005-0000-0000-000071220000}"/>
    <cellStyle name="Título 3 50" xfId="8818" xr:uid="{00000000-0005-0000-0000-000072220000}"/>
    <cellStyle name="Título 3 51" xfId="8819" xr:uid="{00000000-0005-0000-0000-000073220000}"/>
    <cellStyle name="Título 3 52" xfId="8820" xr:uid="{00000000-0005-0000-0000-000074220000}"/>
    <cellStyle name="Título 3 53" xfId="8821" xr:uid="{00000000-0005-0000-0000-000075220000}"/>
    <cellStyle name="Título 3 54" xfId="8822" xr:uid="{00000000-0005-0000-0000-000076220000}"/>
    <cellStyle name="Título 3 55" xfId="8823" xr:uid="{00000000-0005-0000-0000-000077220000}"/>
    <cellStyle name="Título 3 56" xfId="8824" xr:uid="{00000000-0005-0000-0000-000078220000}"/>
    <cellStyle name="Título 3 57" xfId="8825" xr:uid="{00000000-0005-0000-0000-000079220000}"/>
    <cellStyle name="Título 3 58" xfId="8826" xr:uid="{00000000-0005-0000-0000-00007A220000}"/>
    <cellStyle name="Título 3 59" xfId="8827" xr:uid="{00000000-0005-0000-0000-00007B220000}"/>
    <cellStyle name="Título 3 6" xfId="8828" xr:uid="{00000000-0005-0000-0000-00007C220000}"/>
    <cellStyle name="Título 3 6 2" xfId="8829" xr:uid="{00000000-0005-0000-0000-00007D220000}"/>
    <cellStyle name="Título 3 6 3" xfId="8830" xr:uid="{00000000-0005-0000-0000-00007E220000}"/>
    <cellStyle name="Título 3 6 4" xfId="8831" xr:uid="{00000000-0005-0000-0000-00007F220000}"/>
    <cellStyle name="Título 3 6_Plan1" xfId="8832" xr:uid="{00000000-0005-0000-0000-000080220000}"/>
    <cellStyle name="Título 3 60" xfId="8833" xr:uid="{00000000-0005-0000-0000-000081220000}"/>
    <cellStyle name="Título 3 61" xfId="8834" xr:uid="{00000000-0005-0000-0000-000082220000}"/>
    <cellStyle name="Título 3 62" xfId="8835" xr:uid="{00000000-0005-0000-0000-000083220000}"/>
    <cellStyle name="Título 3 63" xfId="8836" xr:uid="{00000000-0005-0000-0000-000084220000}"/>
    <cellStyle name="Título 3 64" xfId="8837" xr:uid="{00000000-0005-0000-0000-000085220000}"/>
    <cellStyle name="Título 3 65" xfId="8838" xr:uid="{00000000-0005-0000-0000-000086220000}"/>
    <cellStyle name="Título 3 66" xfId="8839" xr:uid="{00000000-0005-0000-0000-000087220000}"/>
    <cellStyle name="Título 3 67" xfId="8840" xr:uid="{00000000-0005-0000-0000-000088220000}"/>
    <cellStyle name="Título 3 68" xfId="8841" xr:uid="{00000000-0005-0000-0000-000089220000}"/>
    <cellStyle name="Título 3 69" xfId="8842" xr:uid="{00000000-0005-0000-0000-00008A220000}"/>
    <cellStyle name="Título 3 7" xfId="8843" xr:uid="{00000000-0005-0000-0000-00008B220000}"/>
    <cellStyle name="Título 3 7 2" xfId="8844" xr:uid="{00000000-0005-0000-0000-00008C220000}"/>
    <cellStyle name="Título 3 7 3" xfId="8845" xr:uid="{00000000-0005-0000-0000-00008D220000}"/>
    <cellStyle name="Título 3 7 4" xfId="8846" xr:uid="{00000000-0005-0000-0000-00008E220000}"/>
    <cellStyle name="Título 3 7_Plan1" xfId="8847" xr:uid="{00000000-0005-0000-0000-00008F220000}"/>
    <cellStyle name="Título 3 70" xfId="8848" xr:uid="{00000000-0005-0000-0000-000090220000}"/>
    <cellStyle name="Título 3 71" xfId="8849" xr:uid="{00000000-0005-0000-0000-000091220000}"/>
    <cellStyle name="Título 3 72" xfId="8850" xr:uid="{00000000-0005-0000-0000-000092220000}"/>
    <cellStyle name="Título 3 73" xfId="8851" xr:uid="{00000000-0005-0000-0000-000093220000}"/>
    <cellStyle name="Título 3 74" xfId="8852" xr:uid="{00000000-0005-0000-0000-000094220000}"/>
    <cellStyle name="Título 3 75" xfId="8853" xr:uid="{00000000-0005-0000-0000-000095220000}"/>
    <cellStyle name="Título 3 76" xfId="8854" xr:uid="{00000000-0005-0000-0000-000096220000}"/>
    <cellStyle name="Título 3 77" xfId="8855" xr:uid="{00000000-0005-0000-0000-000097220000}"/>
    <cellStyle name="Título 3 78" xfId="8856" xr:uid="{00000000-0005-0000-0000-000098220000}"/>
    <cellStyle name="Título 3 79" xfId="8857" xr:uid="{00000000-0005-0000-0000-000099220000}"/>
    <cellStyle name="Título 3 8" xfId="8858" xr:uid="{00000000-0005-0000-0000-00009A220000}"/>
    <cellStyle name="Título 3 8 2" xfId="8859" xr:uid="{00000000-0005-0000-0000-00009B220000}"/>
    <cellStyle name="Título 3 8 3" xfId="8860" xr:uid="{00000000-0005-0000-0000-00009C220000}"/>
    <cellStyle name="Título 3 8 4" xfId="8861" xr:uid="{00000000-0005-0000-0000-00009D220000}"/>
    <cellStyle name="Título 3 8_Plan1" xfId="8862" xr:uid="{00000000-0005-0000-0000-00009E220000}"/>
    <cellStyle name="Título 3 80" xfId="8863" xr:uid="{00000000-0005-0000-0000-00009F220000}"/>
    <cellStyle name="Título 3 81" xfId="8864" xr:uid="{00000000-0005-0000-0000-0000A0220000}"/>
    <cellStyle name="Título 3 82" xfId="8865" xr:uid="{00000000-0005-0000-0000-0000A1220000}"/>
    <cellStyle name="Título 3 83" xfId="8866" xr:uid="{00000000-0005-0000-0000-0000A2220000}"/>
    <cellStyle name="Título 3 84" xfId="8867" xr:uid="{00000000-0005-0000-0000-0000A3220000}"/>
    <cellStyle name="Título 3 85" xfId="8868" xr:uid="{00000000-0005-0000-0000-0000A4220000}"/>
    <cellStyle name="Título 3 86" xfId="8869" xr:uid="{00000000-0005-0000-0000-0000A5220000}"/>
    <cellStyle name="Título 3 87" xfId="8870" xr:uid="{00000000-0005-0000-0000-0000A6220000}"/>
    <cellStyle name="Título 3 88" xfId="8871" xr:uid="{00000000-0005-0000-0000-0000A7220000}"/>
    <cellStyle name="Título 3 89" xfId="8872" xr:uid="{00000000-0005-0000-0000-0000A8220000}"/>
    <cellStyle name="Título 3 9" xfId="8873" xr:uid="{00000000-0005-0000-0000-0000A9220000}"/>
    <cellStyle name="Título 3 9 2" xfId="8874" xr:uid="{00000000-0005-0000-0000-0000AA220000}"/>
    <cellStyle name="Título 3 9 3" xfId="8875" xr:uid="{00000000-0005-0000-0000-0000AB220000}"/>
    <cellStyle name="Título 3 9 4" xfId="8876" xr:uid="{00000000-0005-0000-0000-0000AC220000}"/>
    <cellStyle name="Título 3 9_Plan1" xfId="8877" xr:uid="{00000000-0005-0000-0000-0000AD220000}"/>
    <cellStyle name="Título 3 90" xfId="8878" xr:uid="{00000000-0005-0000-0000-0000AE220000}"/>
    <cellStyle name="Título 3 91" xfId="8879" xr:uid="{00000000-0005-0000-0000-0000AF220000}"/>
    <cellStyle name="Título 3 92" xfId="8880" xr:uid="{00000000-0005-0000-0000-0000B0220000}"/>
    <cellStyle name="Título 3 93" xfId="8881" xr:uid="{00000000-0005-0000-0000-0000B1220000}"/>
    <cellStyle name="Título 3 94" xfId="8882" xr:uid="{00000000-0005-0000-0000-0000B2220000}"/>
    <cellStyle name="Título 3 95" xfId="8883" xr:uid="{00000000-0005-0000-0000-0000B3220000}"/>
    <cellStyle name="Título 3 96" xfId="8884" xr:uid="{00000000-0005-0000-0000-0000B4220000}"/>
    <cellStyle name="Título 3 97" xfId="8885" xr:uid="{00000000-0005-0000-0000-0000B5220000}"/>
    <cellStyle name="Título 3 98" xfId="8886" xr:uid="{00000000-0005-0000-0000-0000B6220000}"/>
    <cellStyle name="Título 3 99" xfId="8887" xr:uid="{00000000-0005-0000-0000-0000B7220000}"/>
    <cellStyle name="Título 30" xfId="8888" xr:uid="{00000000-0005-0000-0000-0000B8220000}"/>
    <cellStyle name="Título 31" xfId="8889" xr:uid="{00000000-0005-0000-0000-0000B9220000}"/>
    <cellStyle name="Título 32" xfId="8890" xr:uid="{00000000-0005-0000-0000-0000BA220000}"/>
    <cellStyle name="Título 33" xfId="8891" xr:uid="{00000000-0005-0000-0000-0000BB220000}"/>
    <cellStyle name="Título 34" xfId="8892" xr:uid="{00000000-0005-0000-0000-0000BC220000}"/>
    <cellStyle name="Título 35" xfId="8893" xr:uid="{00000000-0005-0000-0000-0000BD220000}"/>
    <cellStyle name="Título 36" xfId="8894" xr:uid="{00000000-0005-0000-0000-0000BE220000}"/>
    <cellStyle name="Título 37" xfId="8895" xr:uid="{00000000-0005-0000-0000-0000BF220000}"/>
    <cellStyle name="Título 4 10" xfId="8896" xr:uid="{00000000-0005-0000-0000-0000C0220000}"/>
    <cellStyle name="Título 4 100" xfId="8897" xr:uid="{00000000-0005-0000-0000-0000C1220000}"/>
    <cellStyle name="Título 4 101" xfId="8898" xr:uid="{00000000-0005-0000-0000-0000C2220000}"/>
    <cellStyle name="Título 4 102" xfId="8899" xr:uid="{00000000-0005-0000-0000-0000C3220000}"/>
    <cellStyle name="Título 4 103" xfId="8900" xr:uid="{00000000-0005-0000-0000-0000C4220000}"/>
    <cellStyle name="Título 4 104" xfId="8901" xr:uid="{00000000-0005-0000-0000-0000C5220000}"/>
    <cellStyle name="Título 4 105" xfId="8902" xr:uid="{00000000-0005-0000-0000-0000C6220000}"/>
    <cellStyle name="Título 4 106" xfId="8903" xr:uid="{00000000-0005-0000-0000-0000C7220000}"/>
    <cellStyle name="Título 4 107" xfId="8904" xr:uid="{00000000-0005-0000-0000-0000C8220000}"/>
    <cellStyle name="Título 4 108" xfId="8905" xr:uid="{00000000-0005-0000-0000-0000C9220000}"/>
    <cellStyle name="Título 4 109" xfId="8906" xr:uid="{00000000-0005-0000-0000-0000CA220000}"/>
    <cellStyle name="Título 4 11" xfId="8907" xr:uid="{00000000-0005-0000-0000-0000CB220000}"/>
    <cellStyle name="Título 4 110" xfId="8908" xr:uid="{00000000-0005-0000-0000-0000CC220000}"/>
    <cellStyle name="Título 4 111" xfId="8909" xr:uid="{00000000-0005-0000-0000-0000CD220000}"/>
    <cellStyle name="Título 4 112" xfId="8910" xr:uid="{00000000-0005-0000-0000-0000CE220000}"/>
    <cellStyle name="Título 4 113" xfId="8911" xr:uid="{00000000-0005-0000-0000-0000CF220000}"/>
    <cellStyle name="Título 4 114" xfId="8912" xr:uid="{00000000-0005-0000-0000-0000D0220000}"/>
    <cellStyle name="Título 4 115" xfId="8913" xr:uid="{00000000-0005-0000-0000-0000D1220000}"/>
    <cellStyle name="Título 4 116" xfId="8914" xr:uid="{00000000-0005-0000-0000-0000D2220000}"/>
    <cellStyle name="Título 4 117" xfId="8915" xr:uid="{00000000-0005-0000-0000-0000D3220000}"/>
    <cellStyle name="Título 4 118" xfId="8916" xr:uid="{00000000-0005-0000-0000-0000D4220000}"/>
    <cellStyle name="Título 4 119" xfId="8917" xr:uid="{00000000-0005-0000-0000-0000D5220000}"/>
    <cellStyle name="Título 4 12" xfId="8918" xr:uid="{00000000-0005-0000-0000-0000D6220000}"/>
    <cellStyle name="Título 4 120" xfId="8919" xr:uid="{00000000-0005-0000-0000-0000D7220000}"/>
    <cellStyle name="Título 4 13" xfId="8920" xr:uid="{00000000-0005-0000-0000-0000D8220000}"/>
    <cellStyle name="Título 4 14" xfId="8921" xr:uid="{00000000-0005-0000-0000-0000D9220000}"/>
    <cellStyle name="Título 4 15" xfId="8922" xr:uid="{00000000-0005-0000-0000-0000DA220000}"/>
    <cellStyle name="Título 4 16" xfId="8923" xr:uid="{00000000-0005-0000-0000-0000DB220000}"/>
    <cellStyle name="Título 4 17" xfId="8924" xr:uid="{00000000-0005-0000-0000-0000DC220000}"/>
    <cellStyle name="Título 4 18" xfId="8925" xr:uid="{00000000-0005-0000-0000-0000DD220000}"/>
    <cellStyle name="Título 4 19" xfId="8926" xr:uid="{00000000-0005-0000-0000-0000DE220000}"/>
    <cellStyle name="Título 4 2" xfId="8927" xr:uid="{00000000-0005-0000-0000-0000DF220000}"/>
    <cellStyle name="Título 4 2 2" xfId="8928" xr:uid="{00000000-0005-0000-0000-0000E0220000}"/>
    <cellStyle name="Título 4 2 2 2" xfId="8929" xr:uid="{00000000-0005-0000-0000-0000E1220000}"/>
    <cellStyle name="Título 4 2 2 2 2" xfId="8930" xr:uid="{00000000-0005-0000-0000-0000E2220000}"/>
    <cellStyle name="Título 4 2 2 2 2 2" xfId="8931" xr:uid="{00000000-0005-0000-0000-0000E3220000}"/>
    <cellStyle name="Título 4 2 2 3" xfId="8932" xr:uid="{00000000-0005-0000-0000-0000E4220000}"/>
    <cellStyle name="Título 4 2 2 4" xfId="8933" xr:uid="{00000000-0005-0000-0000-0000E5220000}"/>
    <cellStyle name="Título 4 2 2_BD" xfId="8934" xr:uid="{00000000-0005-0000-0000-0000E6220000}"/>
    <cellStyle name="Título 4 2 3" xfId="8935" xr:uid="{00000000-0005-0000-0000-0000E7220000}"/>
    <cellStyle name="Título 4 2 4" xfId="8936" xr:uid="{00000000-0005-0000-0000-0000E8220000}"/>
    <cellStyle name="Título 4 2 5" xfId="8937" xr:uid="{00000000-0005-0000-0000-0000E9220000}"/>
    <cellStyle name="Título 4 2 6" xfId="8938" xr:uid="{00000000-0005-0000-0000-0000EA220000}"/>
    <cellStyle name="Título 4 2 6 2" xfId="8939" xr:uid="{00000000-0005-0000-0000-0000EB220000}"/>
    <cellStyle name="Título 4 2_BD" xfId="8940" xr:uid="{00000000-0005-0000-0000-0000EC220000}"/>
    <cellStyle name="Título 4 20" xfId="8941" xr:uid="{00000000-0005-0000-0000-0000ED220000}"/>
    <cellStyle name="Título 4 21" xfId="8942" xr:uid="{00000000-0005-0000-0000-0000EE220000}"/>
    <cellStyle name="Título 4 22" xfId="8943" xr:uid="{00000000-0005-0000-0000-0000EF220000}"/>
    <cellStyle name="Título 4 23" xfId="8944" xr:uid="{00000000-0005-0000-0000-0000F0220000}"/>
    <cellStyle name="Título 4 24" xfId="8945" xr:uid="{00000000-0005-0000-0000-0000F1220000}"/>
    <cellStyle name="Título 4 25" xfId="8946" xr:uid="{00000000-0005-0000-0000-0000F2220000}"/>
    <cellStyle name="Título 4 26" xfId="8947" xr:uid="{00000000-0005-0000-0000-0000F3220000}"/>
    <cellStyle name="Título 4 27" xfId="8948" xr:uid="{00000000-0005-0000-0000-0000F4220000}"/>
    <cellStyle name="Título 4 28" xfId="8949" xr:uid="{00000000-0005-0000-0000-0000F5220000}"/>
    <cellStyle name="Título 4 29" xfId="8950" xr:uid="{00000000-0005-0000-0000-0000F6220000}"/>
    <cellStyle name="Título 4 3" xfId="8951" xr:uid="{00000000-0005-0000-0000-0000F7220000}"/>
    <cellStyle name="Título 4 3 2" xfId="8952" xr:uid="{00000000-0005-0000-0000-0000F8220000}"/>
    <cellStyle name="Título 4 3_BD" xfId="8953" xr:uid="{00000000-0005-0000-0000-0000F9220000}"/>
    <cellStyle name="Título 4 30" xfId="8954" xr:uid="{00000000-0005-0000-0000-0000FA220000}"/>
    <cellStyle name="Título 4 31" xfId="8955" xr:uid="{00000000-0005-0000-0000-0000FB220000}"/>
    <cellStyle name="Título 4 32" xfId="8956" xr:uid="{00000000-0005-0000-0000-0000FC220000}"/>
    <cellStyle name="Título 4 33" xfId="8957" xr:uid="{00000000-0005-0000-0000-0000FD220000}"/>
    <cellStyle name="Título 4 34" xfId="8958" xr:uid="{00000000-0005-0000-0000-0000FE220000}"/>
    <cellStyle name="Título 4 35" xfId="8959" xr:uid="{00000000-0005-0000-0000-0000FF220000}"/>
    <cellStyle name="Título 4 36" xfId="8960" xr:uid="{00000000-0005-0000-0000-000000230000}"/>
    <cellStyle name="Título 4 37" xfId="8961" xr:uid="{00000000-0005-0000-0000-000001230000}"/>
    <cellStyle name="Título 4 38" xfId="8962" xr:uid="{00000000-0005-0000-0000-000002230000}"/>
    <cellStyle name="Título 4 39" xfId="8963" xr:uid="{00000000-0005-0000-0000-000003230000}"/>
    <cellStyle name="Título 4 4" xfId="8964" xr:uid="{00000000-0005-0000-0000-000004230000}"/>
    <cellStyle name="Título 4 40" xfId="8965" xr:uid="{00000000-0005-0000-0000-000005230000}"/>
    <cellStyle name="Título 4 41" xfId="8966" xr:uid="{00000000-0005-0000-0000-000006230000}"/>
    <cellStyle name="Título 4 42" xfId="8967" xr:uid="{00000000-0005-0000-0000-000007230000}"/>
    <cellStyle name="Título 4 43" xfId="8968" xr:uid="{00000000-0005-0000-0000-000008230000}"/>
    <cellStyle name="Título 4 44" xfId="8969" xr:uid="{00000000-0005-0000-0000-000009230000}"/>
    <cellStyle name="Título 4 45" xfId="8970" xr:uid="{00000000-0005-0000-0000-00000A230000}"/>
    <cellStyle name="Título 4 46" xfId="8971" xr:uid="{00000000-0005-0000-0000-00000B230000}"/>
    <cellStyle name="Título 4 47" xfId="8972" xr:uid="{00000000-0005-0000-0000-00000C230000}"/>
    <cellStyle name="Título 4 48" xfId="8973" xr:uid="{00000000-0005-0000-0000-00000D230000}"/>
    <cellStyle name="Título 4 49" xfId="8974" xr:uid="{00000000-0005-0000-0000-00000E230000}"/>
    <cellStyle name="Título 4 5" xfId="8975" xr:uid="{00000000-0005-0000-0000-00000F230000}"/>
    <cellStyle name="Título 4 50" xfId="8976" xr:uid="{00000000-0005-0000-0000-000010230000}"/>
    <cellStyle name="Título 4 51" xfId="8977" xr:uid="{00000000-0005-0000-0000-000011230000}"/>
    <cellStyle name="Título 4 52" xfId="8978" xr:uid="{00000000-0005-0000-0000-000012230000}"/>
    <cellStyle name="Título 4 53" xfId="8979" xr:uid="{00000000-0005-0000-0000-000013230000}"/>
    <cellStyle name="Título 4 54" xfId="8980" xr:uid="{00000000-0005-0000-0000-000014230000}"/>
    <cellStyle name="Título 4 55" xfId="8981" xr:uid="{00000000-0005-0000-0000-000015230000}"/>
    <cellStyle name="Título 4 56" xfId="8982" xr:uid="{00000000-0005-0000-0000-000016230000}"/>
    <cellStyle name="Título 4 57" xfId="8983" xr:uid="{00000000-0005-0000-0000-000017230000}"/>
    <cellStyle name="Título 4 58" xfId="8984" xr:uid="{00000000-0005-0000-0000-000018230000}"/>
    <cellStyle name="Título 4 59" xfId="8985" xr:uid="{00000000-0005-0000-0000-000019230000}"/>
    <cellStyle name="Título 4 6" xfId="8986" xr:uid="{00000000-0005-0000-0000-00001A230000}"/>
    <cellStyle name="Título 4 60" xfId="8987" xr:uid="{00000000-0005-0000-0000-00001B230000}"/>
    <cellStyle name="Título 4 61" xfId="8988" xr:uid="{00000000-0005-0000-0000-00001C230000}"/>
    <cellStyle name="Título 4 62" xfId="8989" xr:uid="{00000000-0005-0000-0000-00001D230000}"/>
    <cellStyle name="Título 4 63" xfId="8990" xr:uid="{00000000-0005-0000-0000-00001E230000}"/>
    <cellStyle name="Título 4 64" xfId="8991" xr:uid="{00000000-0005-0000-0000-00001F230000}"/>
    <cellStyle name="Título 4 65" xfId="8992" xr:uid="{00000000-0005-0000-0000-000020230000}"/>
    <cellStyle name="Título 4 66" xfId="8993" xr:uid="{00000000-0005-0000-0000-000021230000}"/>
    <cellStyle name="Título 4 67" xfId="8994" xr:uid="{00000000-0005-0000-0000-000022230000}"/>
    <cellStyle name="Título 4 68" xfId="8995" xr:uid="{00000000-0005-0000-0000-000023230000}"/>
    <cellStyle name="Título 4 69" xfId="8996" xr:uid="{00000000-0005-0000-0000-000024230000}"/>
    <cellStyle name="Título 4 7" xfId="8997" xr:uid="{00000000-0005-0000-0000-000025230000}"/>
    <cellStyle name="Título 4 70" xfId="8998" xr:uid="{00000000-0005-0000-0000-000026230000}"/>
    <cellStyle name="Título 4 71" xfId="8999" xr:uid="{00000000-0005-0000-0000-000027230000}"/>
    <cellStyle name="Título 4 72" xfId="9000" xr:uid="{00000000-0005-0000-0000-000028230000}"/>
    <cellStyle name="Título 4 73" xfId="9001" xr:uid="{00000000-0005-0000-0000-000029230000}"/>
    <cellStyle name="Título 4 74" xfId="9002" xr:uid="{00000000-0005-0000-0000-00002A230000}"/>
    <cellStyle name="Título 4 75" xfId="9003" xr:uid="{00000000-0005-0000-0000-00002B230000}"/>
    <cellStyle name="Título 4 76" xfId="9004" xr:uid="{00000000-0005-0000-0000-00002C230000}"/>
    <cellStyle name="Título 4 77" xfId="9005" xr:uid="{00000000-0005-0000-0000-00002D230000}"/>
    <cellStyle name="Título 4 78" xfId="9006" xr:uid="{00000000-0005-0000-0000-00002E230000}"/>
    <cellStyle name="Título 4 79" xfId="9007" xr:uid="{00000000-0005-0000-0000-00002F230000}"/>
    <cellStyle name="Título 4 8" xfId="9008" xr:uid="{00000000-0005-0000-0000-000030230000}"/>
    <cellStyle name="Título 4 80" xfId="9009" xr:uid="{00000000-0005-0000-0000-000031230000}"/>
    <cellStyle name="Título 4 81" xfId="9010" xr:uid="{00000000-0005-0000-0000-000032230000}"/>
    <cellStyle name="Título 4 82" xfId="9011" xr:uid="{00000000-0005-0000-0000-000033230000}"/>
    <cellStyle name="Título 4 83" xfId="9012" xr:uid="{00000000-0005-0000-0000-000034230000}"/>
    <cellStyle name="Título 4 84" xfId="9013" xr:uid="{00000000-0005-0000-0000-000035230000}"/>
    <cellStyle name="Título 4 85" xfId="9014" xr:uid="{00000000-0005-0000-0000-000036230000}"/>
    <cellStyle name="Título 4 86" xfId="9015" xr:uid="{00000000-0005-0000-0000-000037230000}"/>
    <cellStyle name="Título 4 87" xfId="9016" xr:uid="{00000000-0005-0000-0000-000038230000}"/>
    <cellStyle name="Título 4 88" xfId="9017" xr:uid="{00000000-0005-0000-0000-000039230000}"/>
    <cellStyle name="Título 4 89" xfId="9018" xr:uid="{00000000-0005-0000-0000-00003A230000}"/>
    <cellStyle name="Título 4 9" xfId="9019" xr:uid="{00000000-0005-0000-0000-00003B230000}"/>
    <cellStyle name="Título 4 90" xfId="9020" xr:uid="{00000000-0005-0000-0000-00003C230000}"/>
    <cellStyle name="Título 4 91" xfId="9021" xr:uid="{00000000-0005-0000-0000-00003D230000}"/>
    <cellStyle name="Título 4 92" xfId="9022" xr:uid="{00000000-0005-0000-0000-00003E230000}"/>
    <cellStyle name="Título 4 93" xfId="9023" xr:uid="{00000000-0005-0000-0000-00003F230000}"/>
    <cellStyle name="Título 4 94" xfId="9024" xr:uid="{00000000-0005-0000-0000-000040230000}"/>
    <cellStyle name="Título 4 95" xfId="9025" xr:uid="{00000000-0005-0000-0000-000041230000}"/>
    <cellStyle name="Título 4 96" xfId="9026" xr:uid="{00000000-0005-0000-0000-000042230000}"/>
    <cellStyle name="Título 4 97" xfId="9027" xr:uid="{00000000-0005-0000-0000-000043230000}"/>
    <cellStyle name="Título 4 98" xfId="9028" xr:uid="{00000000-0005-0000-0000-000044230000}"/>
    <cellStyle name="Título 4 99" xfId="9029" xr:uid="{00000000-0005-0000-0000-000045230000}"/>
    <cellStyle name="Título 5" xfId="9030" xr:uid="{00000000-0005-0000-0000-000046230000}"/>
    <cellStyle name="Título 6" xfId="9031" xr:uid="{00000000-0005-0000-0000-000047230000}"/>
    <cellStyle name="Título 7" xfId="9032" xr:uid="{00000000-0005-0000-0000-000048230000}"/>
    <cellStyle name="Título 8" xfId="9033" xr:uid="{00000000-0005-0000-0000-000049230000}"/>
    <cellStyle name="Título 9" xfId="9034" xr:uid="{00000000-0005-0000-0000-00004A230000}"/>
    <cellStyle name="Total 10" xfId="9035" xr:uid="{00000000-0005-0000-0000-00004B230000}"/>
    <cellStyle name="Total 10 2" xfId="9036" xr:uid="{00000000-0005-0000-0000-00004C230000}"/>
    <cellStyle name="Total 10_Estoque Atual" xfId="9037" xr:uid="{00000000-0005-0000-0000-00004D230000}"/>
    <cellStyle name="Total 100" xfId="9038" xr:uid="{00000000-0005-0000-0000-00004E230000}"/>
    <cellStyle name="Total 101" xfId="9039" xr:uid="{00000000-0005-0000-0000-00004F230000}"/>
    <cellStyle name="Total 102" xfId="9040" xr:uid="{00000000-0005-0000-0000-000050230000}"/>
    <cellStyle name="Total 103" xfId="9041" xr:uid="{00000000-0005-0000-0000-000051230000}"/>
    <cellStyle name="Total 104" xfId="9042" xr:uid="{00000000-0005-0000-0000-000052230000}"/>
    <cellStyle name="Total 105" xfId="9043" xr:uid="{00000000-0005-0000-0000-000053230000}"/>
    <cellStyle name="Total 106" xfId="9044" xr:uid="{00000000-0005-0000-0000-000054230000}"/>
    <cellStyle name="Total 107" xfId="9045" xr:uid="{00000000-0005-0000-0000-000055230000}"/>
    <cellStyle name="Total 108" xfId="9046" xr:uid="{00000000-0005-0000-0000-000056230000}"/>
    <cellStyle name="Total 109" xfId="9047" xr:uid="{00000000-0005-0000-0000-000057230000}"/>
    <cellStyle name="Total 11" xfId="9048" xr:uid="{00000000-0005-0000-0000-000058230000}"/>
    <cellStyle name="Total 11 2" xfId="9049" xr:uid="{00000000-0005-0000-0000-000059230000}"/>
    <cellStyle name="Total 11_Estoque Atual" xfId="9050" xr:uid="{00000000-0005-0000-0000-00005A230000}"/>
    <cellStyle name="Total 110" xfId="9051" xr:uid="{00000000-0005-0000-0000-00005B230000}"/>
    <cellStyle name="Total 111" xfId="9052" xr:uid="{00000000-0005-0000-0000-00005C230000}"/>
    <cellStyle name="Total 112" xfId="9053" xr:uid="{00000000-0005-0000-0000-00005D230000}"/>
    <cellStyle name="Total 113" xfId="9054" xr:uid="{00000000-0005-0000-0000-00005E230000}"/>
    <cellStyle name="Total 114" xfId="9055" xr:uid="{00000000-0005-0000-0000-00005F230000}"/>
    <cellStyle name="Total 115" xfId="9056" xr:uid="{00000000-0005-0000-0000-000060230000}"/>
    <cellStyle name="Total 116" xfId="9057" xr:uid="{00000000-0005-0000-0000-000061230000}"/>
    <cellStyle name="Total 117" xfId="9058" xr:uid="{00000000-0005-0000-0000-000062230000}"/>
    <cellStyle name="Total 118" xfId="9059" xr:uid="{00000000-0005-0000-0000-000063230000}"/>
    <cellStyle name="Total 119" xfId="9060" xr:uid="{00000000-0005-0000-0000-000064230000}"/>
    <cellStyle name="Total 12" xfId="9061" xr:uid="{00000000-0005-0000-0000-000065230000}"/>
    <cellStyle name="Total 12 2" xfId="9062" xr:uid="{00000000-0005-0000-0000-000066230000}"/>
    <cellStyle name="Total 12_Estoque Atual" xfId="9063" xr:uid="{00000000-0005-0000-0000-000067230000}"/>
    <cellStyle name="Total 120" xfId="9064" xr:uid="{00000000-0005-0000-0000-000068230000}"/>
    <cellStyle name="Total 13" xfId="9065" xr:uid="{00000000-0005-0000-0000-000069230000}"/>
    <cellStyle name="Total 13 2" xfId="9066" xr:uid="{00000000-0005-0000-0000-00006A230000}"/>
    <cellStyle name="Total 13_Estoque Atual" xfId="9067" xr:uid="{00000000-0005-0000-0000-00006B230000}"/>
    <cellStyle name="Total 14" xfId="9068" xr:uid="{00000000-0005-0000-0000-00006C230000}"/>
    <cellStyle name="Total 14 2" xfId="9069" xr:uid="{00000000-0005-0000-0000-00006D230000}"/>
    <cellStyle name="Total 14_Estoque Atual" xfId="9070" xr:uid="{00000000-0005-0000-0000-00006E230000}"/>
    <cellStyle name="Total 15" xfId="9071" xr:uid="{00000000-0005-0000-0000-00006F230000}"/>
    <cellStyle name="Total 15 2" xfId="9072" xr:uid="{00000000-0005-0000-0000-000070230000}"/>
    <cellStyle name="Total 15_Estoque Atual" xfId="9073" xr:uid="{00000000-0005-0000-0000-000071230000}"/>
    <cellStyle name="Total 16" xfId="9074" xr:uid="{00000000-0005-0000-0000-000072230000}"/>
    <cellStyle name="Total 16 2" xfId="9075" xr:uid="{00000000-0005-0000-0000-000073230000}"/>
    <cellStyle name="Total 16_Estoque Atual" xfId="9076" xr:uid="{00000000-0005-0000-0000-000074230000}"/>
    <cellStyle name="Total 17" xfId="9077" xr:uid="{00000000-0005-0000-0000-000075230000}"/>
    <cellStyle name="Total 17 2" xfId="9078" xr:uid="{00000000-0005-0000-0000-000076230000}"/>
    <cellStyle name="Total 17_Estoque Atual" xfId="9079" xr:uid="{00000000-0005-0000-0000-000077230000}"/>
    <cellStyle name="Total 18" xfId="9080" xr:uid="{00000000-0005-0000-0000-000078230000}"/>
    <cellStyle name="Total 18 2" xfId="9081" xr:uid="{00000000-0005-0000-0000-000079230000}"/>
    <cellStyle name="Total 18_Estoque Atual" xfId="9082" xr:uid="{00000000-0005-0000-0000-00007A230000}"/>
    <cellStyle name="Total 19" xfId="9083" xr:uid="{00000000-0005-0000-0000-00007B230000}"/>
    <cellStyle name="Total 19 2" xfId="9084" xr:uid="{00000000-0005-0000-0000-00007C230000}"/>
    <cellStyle name="Total 19_Estoque Atual" xfId="9085" xr:uid="{00000000-0005-0000-0000-00007D230000}"/>
    <cellStyle name="Total 2" xfId="9086" xr:uid="{00000000-0005-0000-0000-00007E230000}"/>
    <cellStyle name="Total 2 2" xfId="9087" xr:uid="{00000000-0005-0000-0000-00007F230000}"/>
    <cellStyle name="Total 2 2 2" xfId="9088" xr:uid="{00000000-0005-0000-0000-000080230000}"/>
    <cellStyle name="Total 2 2 2 2" xfId="9089" xr:uid="{00000000-0005-0000-0000-000081230000}"/>
    <cellStyle name="Total 2 2 2 2 2" xfId="9090" xr:uid="{00000000-0005-0000-0000-000082230000}"/>
    <cellStyle name="Total 2 2 3" xfId="9091" xr:uid="{00000000-0005-0000-0000-000083230000}"/>
    <cellStyle name="Total 2 2 4" xfId="9092" xr:uid="{00000000-0005-0000-0000-000084230000}"/>
    <cellStyle name="Total 2 2_BD" xfId="9093" xr:uid="{00000000-0005-0000-0000-000085230000}"/>
    <cellStyle name="Total 2 3" xfId="9094" xr:uid="{00000000-0005-0000-0000-000086230000}"/>
    <cellStyle name="Total 2 4" xfId="9095" xr:uid="{00000000-0005-0000-0000-000087230000}"/>
    <cellStyle name="Total 2 5" xfId="9096" xr:uid="{00000000-0005-0000-0000-000088230000}"/>
    <cellStyle name="Total 2 6" xfId="9097" xr:uid="{00000000-0005-0000-0000-000089230000}"/>
    <cellStyle name="Total 2 6 2" xfId="9098" xr:uid="{00000000-0005-0000-0000-00008A230000}"/>
    <cellStyle name="Total 2_BD" xfId="9099" xr:uid="{00000000-0005-0000-0000-00008B230000}"/>
    <cellStyle name="Total 20" xfId="9100" xr:uid="{00000000-0005-0000-0000-00008C230000}"/>
    <cellStyle name="Total 20 2" xfId="9101" xr:uid="{00000000-0005-0000-0000-00008D230000}"/>
    <cellStyle name="Total 20_Estoque Atual" xfId="9102" xr:uid="{00000000-0005-0000-0000-00008E230000}"/>
    <cellStyle name="Total 21" xfId="9103" xr:uid="{00000000-0005-0000-0000-00008F230000}"/>
    <cellStyle name="Total 21 2" xfId="9104" xr:uid="{00000000-0005-0000-0000-000090230000}"/>
    <cellStyle name="Total 21_Estoque Atual" xfId="9105" xr:uid="{00000000-0005-0000-0000-000091230000}"/>
    <cellStyle name="Total 22" xfId="9106" xr:uid="{00000000-0005-0000-0000-000092230000}"/>
    <cellStyle name="Total 22 2" xfId="9107" xr:uid="{00000000-0005-0000-0000-000093230000}"/>
    <cellStyle name="Total 22_Estoque Atual" xfId="9108" xr:uid="{00000000-0005-0000-0000-000094230000}"/>
    <cellStyle name="Total 23" xfId="9109" xr:uid="{00000000-0005-0000-0000-000095230000}"/>
    <cellStyle name="Total 23 2" xfId="9110" xr:uid="{00000000-0005-0000-0000-000096230000}"/>
    <cellStyle name="Total 23_Estoque Atual" xfId="9111" xr:uid="{00000000-0005-0000-0000-000097230000}"/>
    <cellStyle name="Total 24" xfId="9112" xr:uid="{00000000-0005-0000-0000-000098230000}"/>
    <cellStyle name="Total 24 2" xfId="9113" xr:uid="{00000000-0005-0000-0000-000099230000}"/>
    <cellStyle name="Total 24_Estoque Atual" xfId="9114" xr:uid="{00000000-0005-0000-0000-00009A230000}"/>
    <cellStyle name="Total 25" xfId="9115" xr:uid="{00000000-0005-0000-0000-00009B230000}"/>
    <cellStyle name="Total 25 2" xfId="9116" xr:uid="{00000000-0005-0000-0000-00009C230000}"/>
    <cellStyle name="Total 25_Estoque Atual" xfId="9117" xr:uid="{00000000-0005-0000-0000-00009D230000}"/>
    <cellStyle name="Total 26" xfId="9118" xr:uid="{00000000-0005-0000-0000-00009E230000}"/>
    <cellStyle name="Total 26 2" xfId="9119" xr:uid="{00000000-0005-0000-0000-00009F230000}"/>
    <cellStyle name="Total 26_Estoque Atual" xfId="9120" xr:uid="{00000000-0005-0000-0000-0000A0230000}"/>
    <cellStyle name="Total 27" xfId="9121" xr:uid="{00000000-0005-0000-0000-0000A1230000}"/>
    <cellStyle name="Total 27 2" xfId="9122" xr:uid="{00000000-0005-0000-0000-0000A2230000}"/>
    <cellStyle name="Total 27_Estoque Atual" xfId="9123" xr:uid="{00000000-0005-0000-0000-0000A3230000}"/>
    <cellStyle name="Total 28" xfId="9124" xr:uid="{00000000-0005-0000-0000-0000A4230000}"/>
    <cellStyle name="Total 28 2" xfId="9125" xr:uid="{00000000-0005-0000-0000-0000A5230000}"/>
    <cellStyle name="Total 28_Estoque Atual" xfId="9126" xr:uid="{00000000-0005-0000-0000-0000A6230000}"/>
    <cellStyle name="Total 29" xfId="9127" xr:uid="{00000000-0005-0000-0000-0000A7230000}"/>
    <cellStyle name="Total 29 2" xfId="9128" xr:uid="{00000000-0005-0000-0000-0000A8230000}"/>
    <cellStyle name="Total 29_Estoque Atual" xfId="9129" xr:uid="{00000000-0005-0000-0000-0000A9230000}"/>
    <cellStyle name="Total 3" xfId="9130" xr:uid="{00000000-0005-0000-0000-0000AA230000}"/>
    <cellStyle name="Total 3 2" xfId="9131" xr:uid="{00000000-0005-0000-0000-0000AB230000}"/>
    <cellStyle name="Total 3 3" xfId="9132" xr:uid="{00000000-0005-0000-0000-0000AC230000}"/>
    <cellStyle name="Total 3_BD" xfId="9133" xr:uid="{00000000-0005-0000-0000-0000AD230000}"/>
    <cellStyle name="Total 30" xfId="9134" xr:uid="{00000000-0005-0000-0000-0000AE230000}"/>
    <cellStyle name="Total 31" xfId="9135" xr:uid="{00000000-0005-0000-0000-0000AF230000}"/>
    <cellStyle name="Total 32" xfId="9136" xr:uid="{00000000-0005-0000-0000-0000B0230000}"/>
    <cellStyle name="Total 33" xfId="9137" xr:uid="{00000000-0005-0000-0000-0000B1230000}"/>
    <cellStyle name="Total 34" xfId="9138" xr:uid="{00000000-0005-0000-0000-0000B2230000}"/>
    <cellStyle name="Total 35" xfId="9139" xr:uid="{00000000-0005-0000-0000-0000B3230000}"/>
    <cellStyle name="Total 35 2" xfId="9140" xr:uid="{00000000-0005-0000-0000-0000B4230000}"/>
    <cellStyle name="Total 35_Plan1" xfId="9141" xr:uid="{00000000-0005-0000-0000-0000B5230000}"/>
    <cellStyle name="Total 36" xfId="9142" xr:uid="{00000000-0005-0000-0000-0000B6230000}"/>
    <cellStyle name="Total 36 2" xfId="9143" xr:uid="{00000000-0005-0000-0000-0000B7230000}"/>
    <cellStyle name="Total 36_Plan1" xfId="9144" xr:uid="{00000000-0005-0000-0000-0000B8230000}"/>
    <cellStyle name="Total 37" xfId="9145" xr:uid="{00000000-0005-0000-0000-0000B9230000}"/>
    <cellStyle name="Total 37 2" xfId="9146" xr:uid="{00000000-0005-0000-0000-0000BA230000}"/>
    <cellStyle name="Total 37_Plan1" xfId="9147" xr:uid="{00000000-0005-0000-0000-0000BB230000}"/>
    <cellStyle name="Total 38" xfId="9148" xr:uid="{00000000-0005-0000-0000-0000BC230000}"/>
    <cellStyle name="Total 38 2" xfId="9149" xr:uid="{00000000-0005-0000-0000-0000BD230000}"/>
    <cellStyle name="Total 38_Plan1" xfId="9150" xr:uid="{00000000-0005-0000-0000-0000BE230000}"/>
    <cellStyle name="Total 39" xfId="9151" xr:uid="{00000000-0005-0000-0000-0000BF230000}"/>
    <cellStyle name="Total 39 2" xfId="9152" xr:uid="{00000000-0005-0000-0000-0000C0230000}"/>
    <cellStyle name="Total 39_Plan1" xfId="9153" xr:uid="{00000000-0005-0000-0000-0000C1230000}"/>
    <cellStyle name="Total 4" xfId="9154" xr:uid="{00000000-0005-0000-0000-0000C2230000}"/>
    <cellStyle name="Total 4 2" xfId="9155" xr:uid="{00000000-0005-0000-0000-0000C3230000}"/>
    <cellStyle name="Total 4_Estoque Atual" xfId="9156" xr:uid="{00000000-0005-0000-0000-0000C4230000}"/>
    <cellStyle name="Total 40" xfId="9157" xr:uid="{00000000-0005-0000-0000-0000C5230000}"/>
    <cellStyle name="Total 40 2" xfId="9158" xr:uid="{00000000-0005-0000-0000-0000C6230000}"/>
    <cellStyle name="Total 40_Plan1" xfId="9159" xr:uid="{00000000-0005-0000-0000-0000C7230000}"/>
    <cellStyle name="Total 41" xfId="9160" xr:uid="{00000000-0005-0000-0000-0000C8230000}"/>
    <cellStyle name="Total 42" xfId="9161" xr:uid="{00000000-0005-0000-0000-0000C9230000}"/>
    <cellStyle name="Total 43" xfId="9162" xr:uid="{00000000-0005-0000-0000-0000CA230000}"/>
    <cellStyle name="Total 44" xfId="9163" xr:uid="{00000000-0005-0000-0000-0000CB230000}"/>
    <cellStyle name="Total 45" xfId="9164" xr:uid="{00000000-0005-0000-0000-0000CC230000}"/>
    <cellStyle name="Total 46" xfId="9165" xr:uid="{00000000-0005-0000-0000-0000CD230000}"/>
    <cellStyle name="Total 47" xfId="9166" xr:uid="{00000000-0005-0000-0000-0000CE230000}"/>
    <cellStyle name="Total 48" xfId="9167" xr:uid="{00000000-0005-0000-0000-0000CF230000}"/>
    <cellStyle name="Total 49" xfId="9168" xr:uid="{00000000-0005-0000-0000-0000D0230000}"/>
    <cellStyle name="Total 5" xfId="9169" xr:uid="{00000000-0005-0000-0000-0000D1230000}"/>
    <cellStyle name="Total 5 2" xfId="9170" xr:uid="{00000000-0005-0000-0000-0000D2230000}"/>
    <cellStyle name="Total 5_Estoque Atual" xfId="9171" xr:uid="{00000000-0005-0000-0000-0000D3230000}"/>
    <cellStyle name="Total 50" xfId="9172" xr:uid="{00000000-0005-0000-0000-0000D4230000}"/>
    <cellStyle name="Total 51" xfId="9173" xr:uid="{00000000-0005-0000-0000-0000D5230000}"/>
    <cellStyle name="Total 52" xfId="9174" xr:uid="{00000000-0005-0000-0000-0000D6230000}"/>
    <cellStyle name="Total 53" xfId="9175" xr:uid="{00000000-0005-0000-0000-0000D7230000}"/>
    <cellStyle name="Total 54" xfId="9176" xr:uid="{00000000-0005-0000-0000-0000D8230000}"/>
    <cellStyle name="Total 55" xfId="9177" xr:uid="{00000000-0005-0000-0000-0000D9230000}"/>
    <cellStyle name="Total 56" xfId="9178" xr:uid="{00000000-0005-0000-0000-0000DA230000}"/>
    <cellStyle name="Total 57" xfId="9179" xr:uid="{00000000-0005-0000-0000-0000DB230000}"/>
    <cellStyle name="Total 58" xfId="9180" xr:uid="{00000000-0005-0000-0000-0000DC230000}"/>
    <cellStyle name="Total 59" xfId="9181" xr:uid="{00000000-0005-0000-0000-0000DD230000}"/>
    <cellStyle name="Total 6" xfId="9182" xr:uid="{00000000-0005-0000-0000-0000DE230000}"/>
    <cellStyle name="Total 6 2" xfId="9183" xr:uid="{00000000-0005-0000-0000-0000DF230000}"/>
    <cellStyle name="Total 6_Estoque Atual" xfId="9184" xr:uid="{00000000-0005-0000-0000-0000E0230000}"/>
    <cellStyle name="Total 60" xfId="9185" xr:uid="{00000000-0005-0000-0000-0000E1230000}"/>
    <cellStyle name="Total 61" xfId="9186" xr:uid="{00000000-0005-0000-0000-0000E2230000}"/>
    <cellStyle name="Total 62" xfId="9187" xr:uid="{00000000-0005-0000-0000-0000E3230000}"/>
    <cellStyle name="Total 63" xfId="9188" xr:uid="{00000000-0005-0000-0000-0000E4230000}"/>
    <cellStyle name="Total 64" xfId="9189" xr:uid="{00000000-0005-0000-0000-0000E5230000}"/>
    <cellStyle name="Total 65" xfId="9190" xr:uid="{00000000-0005-0000-0000-0000E6230000}"/>
    <cellStyle name="Total 66" xfId="9191" xr:uid="{00000000-0005-0000-0000-0000E7230000}"/>
    <cellStyle name="Total 67" xfId="9192" xr:uid="{00000000-0005-0000-0000-0000E8230000}"/>
    <cellStyle name="Total 68" xfId="9193" xr:uid="{00000000-0005-0000-0000-0000E9230000}"/>
    <cellStyle name="Total 69" xfId="9194" xr:uid="{00000000-0005-0000-0000-0000EA230000}"/>
    <cellStyle name="Total 7" xfId="9195" xr:uid="{00000000-0005-0000-0000-0000EB230000}"/>
    <cellStyle name="Total 7 2" xfId="9196" xr:uid="{00000000-0005-0000-0000-0000EC230000}"/>
    <cellStyle name="Total 7_Estoque Atual" xfId="9197" xr:uid="{00000000-0005-0000-0000-0000ED230000}"/>
    <cellStyle name="Total 70" xfId="9198" xr:uid="{00000000-0005-0000-0000-0000EE230000}"/>
    <cellStyle name="Total 71" xfId="9199" xr:uid="{00000000-0005-0000-0000-0000EF230000}"/>
    <cellStyle name="Total 72" xfId="9200" xr:uid="{00000000-0005-0000-0000-0000F0230000}"/>
    <cellStyle name="Total 73" xfId="9201" xr:uid="{00000000-0005-0000-0000-0000F1230000}"/>
    <cellStyle name="Total 74" xfId="9202" xr:uid="{00000000-0005-0000-0000-0000F2230000}"/>
    <cellStyle name="Total 75" xfId="9203" xr:uid="{00000000-0005-0000-0000-0000F3230000}"/>
    <cellStyle name="Total 76" xfId="9204" xr:uid="{00000000-0005-0000-0000-0000F4230000}"/>
    <cellStyle name="Total 77" xfId="9205" xr:uid="{00000000-0005-0000-0000-0000F5230000}"/>
    <cellStyle name="Total 78" xfId="9206" xr:uid="{00000000-0005-0000-0000-0000F6230000}"/>
    <cellStyle name="Total 79" xfId="9207" xr:uid="{00000000-0005-0000-0000-0000F7230000}"/>
    <cellStyle name="Total 8" xfId="9208" xr:uid="{00000000-0005-0000-0000-0000F8230000}"/>
    <cellStyle name="Total 8 2" xfId="9209" xr:uid="{00000000-0005-0000-0000-0000F9230000}"/>
    <cellStyle name="Total 8_Estoque Atual" xfId="9210" xr:uid="{00000000-0005-0000-0000-0000FA230000}"/>
    <cellStyle name="Total 80" xfId="9211" xr:uid="{00000000-0005-0000-0000-0000FB230000}"/>
    <cellStyle name="Total 81" xfId="9212" xr:uid="{00000000-0005-0000-0000-0000FC230000}"/>
    <cellStyle name="Total 82" xfId="9213" xr:uid="{00000000-0005-0000-0000-0000FD230000}"/>
    <cellStyle name="Total 83" xfId="9214" xr:uid="{00000000-0005-0000-0000-0000FE230000}"/>
    <cellStyle name="Total 84" xfId="9215" xr:uid="{00000000-0005-0000-0000-0000FF230000}"/>
    <cellStyle name="Total 85" xfId="9216" xr:uid="{00000000-0005-0000-0000-000000240000}"/>
    <cellStyle name="Total 86" xfId="9217" xr:uid="{00000000-0005-0000-0000-000001240000}"/>
    <cellStyle name="Total 87" xfId="9218" xr:uid="{00000000-0005-0000-0000-000002240000}"/>
    <cellStyle name="Total 88" xfId="9219" xr:uid="{00000000-0005-0000-0000-000003240000}"/>
    <cellStyle name="Total 89" xfId="9220" xr:uid="{00000000-0005-0000-0000-000004240000}"/>
    <cellStyle name="Total 9" xfId="9221" xr:uid="{00000000-0005-0000-0000-000005240000}"/>
    <cellStyle name="Total 9 2" xfId="9222" xr:uid="{00000000-0005-0000-0000-000006240000}"/>
    <cellStyle name="Total 9_Estoque Atual" xfId="9223" xr:uid="{00000000-0005-0000-0000-000007240000}"/>
    <cellStyle name="Total 90" xfId="9224" xr:uid="{00000000-0005-0000-0000-000008240000}"/>
    <cellStyle name="Total 91" xfId="9225" xr:uid="{00000000-0005-0000-0000-000009240000}"/>
    <cellStyle name="Total 92" xfId="9226" xr:uid="{00000000-0005-0000-0000-00000A240000}"/>
    <cellStyle name="Total 93" xfId="9227" xr:uid="{00000000-0005-0000-0000-00000B240000}"/>
    <cellStyle name="Total 94" xfId="9228" xr:uid="{00000000-0005-0000-0000-00000C240000}"/>
    <cellStyle name="Total 95" xfId="9229" xr:uid="{00000000-0005-0000-0000-00000D240000}"/>
    <cellStyle name="Total 96" xfId="9230" xr:uid="{00000000-0005-0000-0000-00000E240000}"/>
    <cellStyle name="Total 97" xfId="9231" xr:uid="{00000000-0005-0000-0000-00000F240000}"/>
    <cellStyle name="Total 98" xfId="9232" xr:uid="{00000000-0005-0000-0000-000010240000}"/>
    <cellStyle name="Total 99" xfId="9233" xr:uid="{00000000-0005-0000-0000-000011240000}"/>
    <cellStyle name="Vírgula" xfId="1" builtinId="3"/>
    <cellStyle name="Vírgula 2" xfId="9234" xr:uid="{00000000-0005-0000-0000-000013240000}"/>
  </cellStyles>
  <dxfs count="21">
    <dxf>
      <font>
        <color theme="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rgb="FFFFFFE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ill>
        <patternFill>
          <bgColor rgb="FFFFFFE1"/>
        </patternFill>
      </fill>
      <border>
        <left style="thin">
          <color theme="0" tint="-0.499984740745262"/>
        </left>
        <right style="thin">
          <color theme="0" tint="-0.24994659260841701"/>
        </right>
        <top style="thin">
          <color theme="0" tint="-0.499984740745262"/>
        </top>
        <bottom style="thin">
          <color theme="0" tint="-0.24994659260841701"/>
        </bottom>
      </border>
    </dxf>
    <dxf>
      <border>
        <left style="thin">
          <color theme="0" tint="-0.499984740745262"/>
        </left>
        <right style="thin">
          <color theme="0" tint="-0.24994659260841701"/>
        </right>
        <top style="thin">
          <color theme="0" tint="-0.499984740745262"/>
        </top>
        <bottom style="thin">
          <color theme="0" tint="-0.24994659260841701"/>
        </bottom>
        <vertical/>
        <horizontal/>
      </border>
    </dxf>
    <dxf>
      <font>
        <b/>
        <i/>
      </font>
      <fill>
        <patternFill>
          <bgColor theme="6" tint="0.79998168889431442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ont>
        <b/>
        <i val="0"/>
      </font>
      <fill>
        <patternFill patternType="solid">
          <fgColor auto="1"/>
          <bgColor theme="6" tint="0.79998168889431442"/>
        </patternFill>
      </fill>
    </dxf>
    <dxf>
      <font>
        <b/>
        <i val="0"/>
      </font>
      <fill>
        <gradientFill>
          <stop position="0">
            <color theme="0"/>
          </stop>
          <stop position="1">
            <color theme="6" tint="0.59999389629810485"/>
          </stop>
        </gradientFill>
      </fill>
    </dxf>
    <dxf>
      <fill>
        <patternFill>
          <bgColor rgb="FFFFFFE1"/>
        </patternFill>
      </fill>
    </dxf>
    <dxf>
      <fill>
        <patternFill>
          <bgColor rgb="FFFFFFE1"/>
        </patternFill>
      </fill>
    </dxf>
    <dxf>
      <fill>
        <patternFill>
          <bgColor rgb="FFFFFFE1"/>
        </patternFill>
      </fill>
    </dxf>
  </dxfs>
  <tableStyles count="0" defaultTableStyle="TableStyleMedium2" defaultPivotStyle="PivotStyleLight16"/>
  <colors>
    <mruColors>
      <color rgb="FFF1F5E7"/>
      <color rgb="FFFDFDFD"/>
      <color rgb="FFF9F9F9"/>
      <color rgb="FFFFFFE1"/>
      <color rgb="FFEBF9ED"/>
      <color rgb="FF175F1E"/>
      <color rgb="FF20842A"/>
      <color rgb="FF0C440F"/>
      <color rgb="FFFCFEFC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581920837931947E-2"/>
          <c:y val="3.3673356146438627E-2"/>
          <c:w val="0.91706144889553431"/>
          <c:h val="0.68084670669864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Cotação!$D$225</c:f>
              <c:strCache>
                <c:ptCount val="1"/>
                <c:pt idx="0">
                  <c:v>Vlr Total</c:v>
                </c:pt>
              </c:strCache>
            </c:strRef>
          </c:tx>
          <c:spPr>
            <a:solidFill>
              <a:srgbClr val="F1F5E7"/>
            </a:solidFill>
            <a:ln>
              <a:solidFill>
                <a:srgbClr val="175F1E"/>
              </a:solidFill>
            </a:ln>
            <a:effectLst/>
          </c:spPr>
          <c:invertIfNegative val="0"/>
          <c:cat>
            <c:strRef>
              <c:f>Cotação!$A$227:$A$236</c:f>
              <c:strCache>
                <c:ptCount val="4"/>
                <c:pt idx="0">
                  <c:v>FORNECEDOR 1</c:v>
                </c:pt>
                <c:pt idx="1">
                  <c:v>FORNECEDOR 2</c:v>
                </c:pt>
                <c:pt idx="2">
                  <c:v>FORNECEDOR 3</c:v>
                </c:pt>
                <c:pt idx="3">
                  <c:v>FORNECEDOR 4</c:v>
                </c:pt>
              </c:strCache>
            </c:strRef>
          </c:cat>
          <c:val>
            <c:numRef>
              <c:f>Cotação!$D$227:$D$236</c:f>
              <c:numCache>
                <c:formatCode>#,##0.0</c:formatCode>
                <c:ptCount val="10"/>
                <c:pt idx="0">
                  <c:v>31.5</c:v>
                </c:pt>
                <c:pt idx="1">
                  <c:v>26.3</c:v>
                </c:pt>
                <c:pt idx="2">
                  <c:v>28</c:v>
                </c:pt>
                <c:pt idx="3">
                  <c:v>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E9-478B-BC6A-CEF211660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98209528"/>
        <c:axId val="391130008"/>
      </c:barChart>
      <c:lineChart>
        <c:grouping val="standard"/>
        <c:varyColors val="0"/>
        <c:ser>
          <c:idx val="2"/>
          <c:order val="1"/>
          <c:tx>
            <c:strRef>
              <c:f>Cotação!$F$225</c:f>
              <c:strCache>
                <c:ptCount val="1"/>
                <c:pt idx="0">
                  <c:v>Valor Mín</c:v>
                </c:pt>
              </c:strCache>
            </c:strRef>
          </c:tx>
          <c:spPr>
            <a:ln w="19050" cap="rnd">
              <a:solidFill>
                <a:srgbClr val="175F1E"/>
              </a:solidFill>
              <a:round/>
            </a:ln>
            <a:effectLst/>
          </c:spPr>
          <c:marker>
            <c:symbol val="none"/>
          </c:marker>
          <c:val>
            <c:numRef>
              <c:f>Cotação!$F$227:$F$236</c:f>
              <c:numCache>
                <c:formatCode>General</c:formatCode>
                <c:ptCount val="10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E9-478B-BC6A-CEF211660102}"/>
            </c:ext>
          </c:extLst>
        </c:ser>
        <c:ser>
          <c:idx val="1"/>
          <c:order val="2"/>
          <c:tx>
            <c:strRef>
              <c:f>Cotação!$G$225</c:f>
              <c:strCache>
                <c:ptCount val="1"/>
              </c:strCache>
            </c:strRef>
          </c:tx>
          <c:spPr>
            <a:ln w="9525" cap="rnd">
              <a:solidFill>
                <a:srgbClr val="175F1E"/>
              </a:solidFill>
              <a:round/>
            </a:ln>
            <a:effectLst/>
          </c:spPr>
          <c:marker>
            <c:symbol val="none"/>
          </c:marker>
          <c:val>
            <c:numRef>
              <c:f>Cotação!$G$227:$G$236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B7-4C13-A07D-3539889F0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209528"/>
        <c:axId val="391130008"/>
      </c:lineChart>
      <c:catAx>
        <c:axId val="298209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1130008"/>
        <c:crosses val="autoZero"/>
        <c:auto val="1"/>
        <c:lblAlgn val="ctr"/>
        <c:lblOffset val="100"/>
        <c:noMultiLvlLbl val="0"/>
      </c:catAx>
      <c:valAx>
        <c:axId val="391130008"/>
        <c:scaling>
          <c:orientation val="minMax"/>
        </c:scaling>
        <c:delete val="1"/>
        <c:axPos val="l"/>
        <c:numFmt formatCode="#,##0.0" sourceLinked="1"/>
        <c:majorTickMark val="none"/>
        <c:minorTickMark val="none"/>
        <c:tickLblPos val="nextTo"/>
        <c:crossAx val="298209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"/>
          <c:y val="0.88336788545648781"/>
          <c:w val="9.5494362902524041E-2"/>
          <c:h val="0.11590993904714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267075</xdr:colOff>
      <xdr:row>224</xdr:row>
      <xdr:rowOff>17886</xdr:rowOff>
    </xdr:from>
    <xdr:to>
      <xdr:col>20</xdr:col>
      <xdr:colOff>358590</xdr:colOff>
      <xdr:row>234</xdr:row>
      <xdr:rowOff>121634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11204</xdr:colOff>
      <xdr:row>0</xdr:row>
      <xdr:rowOff>56029</xdr:rowOff>
    </xdr:from>
    <xdr:to>
      <xdr:col>37</xdr:col>
      <xdr:colOff>0</xdr:colOff>
      <xdr:row>0</xdr:row>
      <xdr:rowOff>593912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879" y="56029"/>
          <a:ext cx="17152846" cy="537883"/>
        </a:xfrm>
        <a:prstGeom prst="rect">
          <a:avLst/>
        </a:prstGeom>
        <a:solidFill>
          <a:schemeClr val="bg1">
            <a:lumMod val="95000"/>
          </a:schemeClr>
        </a:solidFill>
        <a:ln w="222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tx1">
                  <a:lumMod val="75000"/>
                  <a:lumOff val="25000"/>
                </a:schemeClr>
              </a:solidFill>
            </a:rPr>
            <a:t>SOLICITAÇÃO DE COMPRA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14</xdr:row>
          <xdr:rowOff>85725</xdr:rowOff>
        </xdr:from>
        <xdr:to>
          <xdr:col>2</xdr:col>
          <xdr:colOff>152400</xdr:colOff>
          <xdr:row>15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Linha 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221</xdr:row>
          <xdr:rowOff>171450</xdr:rowOff>
        </xdr:from>
        <xdr:to>
          <xdr:col>1</xdr:col>
          <xdr:colOff>257175</xdr:colOff>
          <xdr:row>222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221</xdr:row>
          <xdr:rowOff>171450</xdr:rowOff>
        </xdr:from>
        <xdr:to>
          <xdr:col>1</xdr:col>
          <xdr:colOff>495300</xdr:colOff>
          <xdr:row>222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</xdr:colOff>
          <xdr:row>13</xdr:row>
          <xdr:rowOff>57150</xdr:rowOff>
        </xdr:from>
        <xdr:to>
          <xdr:col>37</xdr:col>
          <xdr:colOff>0</xdr:colOff>
          <xdr:row>13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Fornecedores +/-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14</xdr:row>
          <xdr:rowOff>85725</xdr:rowOff>
        </xdr:from>
        <xdr:to>
          <xdr:col>2</xdr:col>
          <xdr:colOff>1314450</xdr:colOff>
          <xdr:row>15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Fornecedores +/-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pageSetUpPr fitToPage="1"/>
  </sheetPr>
  <dimension ref="A1:AO239"/>
  <sheetViews>
    <sheetView showGridLines="0" tabSelected="1" zoomScaleNormal="100" workbookViewId="0">
      <selection activeCell="B2" sqref="B2:AK2"/>
    </sheetView>
  </sheetViews>
  <sheetFormatPr defaultColWidth="9.140625" defaultRowHeight="15" x14ac:dyDescent="0.25"/>
  <cols>
    <col min="1" max="1" width="1" style="9" customWidth="1"/>
    <col min="2" max="2" width="8.85546875" style="1" customWidth="1"/>
    <col min="3" max="3" width="47" style="1" customWidth="1"/>
    <col min="4" max="4" width="9.5703125" style="1" customWidth="1"/>
    <col min="5" max="5" width="9.42578125" style="1" customWidth="1"/>
    <col min="6" max="6" width="11.7109375" style="1" customWidth="1"/>
    <col min="7" max="7" width="9.7109375" style="1" customWidth="1"/>
    <col min="8" max="9" width="11.7109375" style="1" customWidth="1"/>
    <col min="10" max="10" width="9.7109375" style="1" customWidth="1"/>
    <col min="11" max="12" width="11.7109375" style="1" customWidth="1"/>
    <col min="13" max="13" width="9.7109375" style="1" customWidth="1"/>
    <col min="14" max="15" width="11.7109375" style="1" customWidth="1"/>
    <col min="16" max="16" width="9.7109375" style="1" customWidth="1"/>
    <col min="17" max="18" width="11.7109375" style="1" customWidth="1"/>
    <col min="19" max="19" width="9.7109375" style="1" customWidth="1"/>
    <col min="20" max="21" width="11.7109375" style="1" customWidth="1"/>
    <col min="22" max="22" width="9.7109375" style="1" customWidth="1"/>
    <col min="23" max="24" width="11.7109375" style="1" customWidth="1"/>
    <col min="25" max="25" width="9.7109375" style="1" customWidth="1"/>
    <col min="26" max="27" width="11.7109375" style="1" customWidth="1"/>
    <col min="28" max="28" width="9.7109375" style="1" customWidth="1"/>
    <col min="29" max="30" width="11.7109375" style="1" customWidth="1"/>
    <col min="31" max="31" width="9.7109375" style="1" customWidth="1"/>
    <col min="32" max="33" width="11.7109375" style="1" customWidth="1"/>
    <col min="34" max="34" width="9.7109375" style="1" customWidth="1"/>
    <col min="35" max="35" width="11.7109375" style="1" customWidth="1"/>
    <col min="36" max="36" width="15.42578125" style="1" customWidth="1"/>
    <col min="37" max="37" width="1.140625" style="1" customWidth="1"/>
    <col min="38" max="16384" width="9.140625" style="1"/>
  </cols>
  <sheetData>
    <row r="1" spans="1:41" ht="49.5" customHeight="1" x14ac:dyDescent="0.25"/>
    <row r="2" spans="1:41" ht="20.25" customHeight="1" x14ac:dyDescent="0.3">
      <c r="B2" s="104" t="s">
        <v>46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</row>
    <row r="3" spans="1:41" ht="6" customHeight="1" x14ac:dyDescent="0.25">
      <c r="B3" s="21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3"/>
    </row>
    <row r="4" spans="1:41" x14ac:dyDescent="0.25">
      <c r="B4" s="30"/>
      <c r="C4" s="32" t="s">
        <v>6</v>
      </c>
      <c r="D4" s="155"/>
      <c r="E4" s="156"/>
      <c r="F4" s="36" t="str">
        <f>IF(ISBLANK(D4), "&lt;--- informe a data da cotação", "")</f>
        <v>&lt;--- informe a data da cotação</v>
      </c>
      <c r="G4" s="34"/>
      <c r="H4" s="6"/>
      <c r="I4" s="6"/>
      <c r="J4" s="6"/>
      <c r="K4" s="6"/>
      <c r="L4" s="6"/>
      <c r="M4" s="37"/>
      <c r="N4" s="32" t="s">
        <v>7</v>
      </c>
      <c r="O4" s="152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4"/>
      <c r="AK4" s="24"/>
    </row>
    <row r="5" spans="1:41" ht="4.5" customHeight="1" x14ac:dyDescent="0.25">
      <c r="B5" s="30"/>
      <c r="C5" s="32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37"/>
      <c r="AK5" s="24"/>
    </row>
    <row r="6" spans="1:41" x14ac:dyDescent="0.25">
      <c r="B6" s="30"/>
      <c r="C6" s="32" t="s">
        <v>10</v>
      </c>
      <c r="D6" s="157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9"/>
      <c r="AK6" s="24"/>
    </row>
    <row r="7" spans="1:41" ht="4.5" customHeight="1" x14ac:dyDescent="0.25">
      <c r="B7" s="30"/>
      <c r="C7" s="32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7"/>
      <c r="AK7" s="24"/>
    </row>
    <row r="8" spans="1:41" x14ac:dyDescent="0.25">
      <c r="B8" s="30"/>
      <c r="C8" s="32" t="s">
        <v>35</v>
      </c>
      <c r="D8" s="160"/>
      <c r="E8" s="161"/>
      <c r="F8" s="161"/>
      <c r="G8" s="161"/>
      <c r="H8" s="161"/>
      <c r="I8" s="162"/>
      <c r="J8" s="6"/>
      <c r="K8" s="38" t="str">
        <f>IF(ISBLANK(D8), "", "Justificativa ")</f>
        <v/>
      </c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24"/>
    </row>
    <row r="9" spans="1:41" ht="4.5" customHeight="1" x14ac:dyDescent="0.25">
      <c r="B9" s="30"/>
      <c r="C9" s="32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7"/>
      <c r="AK9" s="24"/>
    </row>
    <row r="10" spans="1:41" x14ac:dyDescent="0.25">
      <c r="B10" s="30"/>
      <c r="C10" s="32" t="s">
        <v>36</v>
      </c>
      <c r="D10" s="150">
        <f>COUNTIFS($F$218:$AI$218, "&gt;0")</f>
        <v>4</v>
      </c>
      <c r="E10" s="151"/>
      <c r="F10" s="8"/>
      <c r="G10" s="8"/>
      <c r="H10" s="38" t="str">
        <f>IF(D10 &lt; 3, "Justificativa ", "")</f>
        <v/>
      </c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24"/>
    </row>
    <row r="11" spans="1:41" ht="4.5" customHeight="1" x14ac:dyDescent="0.25">
      <c r="B11" s="30"/>
      <c r="C11" s="32"/>
      <c r="D11" s="33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K11" s="24"/>
    </row>
    <row r="12" spans="1:41" ht="36.75" customHeight="1" x14ac:dyDescent="0.25">
      <c r="B12" s="31"/>
      <c r="C12" s="35" t="s">
        <v>37</v>
      </c>
      <c r="D12" s="147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9"/>
      <c r="AK12" s="24"/>
      <c r="AO12" s="20"/>
    </row>
    <row r="13" spans="1:41" ht="5.25" customHeight="1" x14ac:dyDescent="0.25">
      <c r="A13" s="9">
        <v>1</v>
      </c>
      <c r="B13" s="25"/>
      <c r="C13" s="26"/>
      <c r="D13" s="27"/>
      <c r="E13" s="27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9"/>
    </row>
    <row r="14" spans="1:41" ht="27" customHeight="1" x14ac:dyDescent="0.3">
      <c r="A14" s="10">
        <v>0</v>
      </c>
      <c r="B14" s="104" t="s">
        <v>40</v>
      </c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</row>
    <row r="15" spans="1:41" ht="15.75" customHeight="1" x14ac:dyDescent="0.25">
      <c r="A15" s="10">
        <f>ROW(A17)+1</f>
        <v>18</v>
      </c>
      <c r="B15" s="141"/>
      <c r="C15" s="142"/>
      <c r="D15" s="142"/>
      <c r="E15" s="143"/>
      <c r="F15" s="117" t="s">
        <v>38</v>
      </c>
      <c r="G15" s="118"/>
      <c r="H15" s="119"/>
      <c r="I15" s="117" t="s">
        <v>26</v>
      </c>
      <c r="J15" s="118"/>
      <c r="K15" s="119"/>
      <c r="L15" s="117" t="s">
        <v>25</v>
      </c>
      <c r="M15" s="118"/>
      <c r="N15" s="119"/>
      <c r="O15" s="117" t="s">
        <v>24</v>
      </c>
      <c r="P15" s="118"/>
      <c r="Q15" s="119"/>
      <c r="R15" s="117" t="s">
        <v>22</v>
      </c>
      <c r="S15" s="118"/>
      <c r="T15" s="119"/>
      <c r="U15" s="117" t="s">
        <v>21</v>
      </c>
      <c r="V15" s="118"/>
      <c r="W15" s="119"/>
      <c r="X15" s="117" t="s">
        <v>23</v>
      </c>
      <c r="Y15" s="118"/>
      <c r="Z15" s="119"/>
      <c r="AA15" s="117" t="s">
        <v>17</v>
      </c>
      <c r="AB15" s="118"/>
      <c r="AC15" s="119"/>
      <c r="AD15" s="117" t="s">
        <v>18</v>
      </c>
      <c r="AE15" s="118"/>
      <c r="AF15" s="119"/>
      <c r="AG15" s="117" t="s">
        <v>19</v>
      </c>
      <c r="AH15" s="118"/>
      <c r="AI15" s="119"/>
      <c r="AJ15" s="109"/>
      <c r="AK15" s="110"/>
    </row>
    <row r="16" spans="1:41" x14ac:dyDescent="0.25">
      <c r="A16" s="10">
        <f>A15+COUNTA(A18:A217)-1</f>
        <v>217</v>
      </c>
      <c r="B16" s="124" t="s">
        <v>3</v>
      </c>
      <c r="C16" s="125"/>
      <c r="D16" s="125"/>
      <c r="E16" s="126"/>
      <c r="F16" s="120" t="s">
        <v>20</v>
      </c>
      <c r="G16" s="121"/>
      <c r="H16" s="122"/>
      <c r="I16" s="120" t="s">
        <v>20</v>
      </c>
      <c r="J16" s="121"/>
      <c r="K16" s="122"/>
      <c r="L16" s="120" t="s">
        <v>20</v>
      </c>
      <c r="M16" s="121"/>
      <c r="N16" s="122"/>
      <c r="O16" s="120" t="s">
        <v>20</v>
      </c>
      <c r="P16" s="121"/>
      <c r="Q16" s="122"/>
      <c r="R16" s="120" t="s">
        <v>20</v>
      </c>
      <c r="S16" s="121"/>
      <c r="T16" s="122"/>
      <c r="U16" s="120" t="s">
        <v>20</v>
      </c>
      <c r="V16" s="121"/>
      <c r="W16" s="122"/>
      <c r="X16" s="120" t="s">
        <v>20</v>
      </c>
      <c r="Y16" s="121"/>
      <c r="Z16" s="122"/>
      <c r="AA16" s="120" t="s">
        <v>20</v>
      </c>
      <c r="AB16" s="121"/>
      <c r="AC16" s="122"/>
      <c r="AD16" s="120" t="s">
        <v>20</v>
      </c>
      <c r="AE16" s="121"/>
      <c r="AF16" s="122"/>
      <c r="AG16" s="120" t="s">
        <v>20</v>
      </c>
      <c r="AH16" s="121"/>
      <c r="AI16" s="122"/>
      <c r="AJ16" s="111"/>
      <c r="AK16" s="112"/>
    </row>
    <row r="17" spans="1:37" ht="18" customHeight="1" x14ac:dyDescent="0.25">
      <c r="A17" s="10">
        <f>COUNTIFS(lista_itens,"&lt;&gt;0")</f>
        <v>200</v>
      </c>
      <c r="B17" s="66" t="s">
        <v>41</v>
      </c>
      <c r="C17" s="67" t="s">
        <v>0</v>
      </c>
      <c r="D17" s="68" t="s">
        <v>1</v>
      </c>
      <c r="E17" s="68" t="s">
        <v>11</v>
      </c>
      <c r="F17" s="66" t="s">
        <v>12</v>
      </c>
      <c r="G17" s="68" t="s">
        <v>39</v>
      </c>
      <c r="H17" s="69" t="s">
        <v>2</v>
      </c>
      <c r="I17" s="66" t="s">
        <v>12</v>
      </c>
      <c r="J17" s="68" t="s">
        <v>39</v>
      </c>
      <c r="K17" s="69" t="s">
        <v>2</v>
      </c>
      <c r="L17" s="66" t="s">
        <v>12</v>
      </c>
      <c r="M17" s="68" t="s">
        <v>39</v>
      </c>
      <c r="N17" s="69" t="s">
        <v>2</v>
      </c>
      <c r="O17" s="66" t="s">
        <v>12</v>
      </c>
      <c r="P17" s="68" t="s">
        <v>39</v>
      </c>
      <c r="Q17" s="69" t="s">
        <v>2</v>
      </c>
      <c r="R17" s="66" t="s">
        <v>12</v>
      </c>
      <c r="S17" s="68" t="s">
        <v>39</v>
      </c>
      <c r="T17" s="69" t="s">
        <v>2</v>
      </c>
      <c r="U17" s="66" t="s">
        <v>12</v>
      </c>
      <c r="V17" s="68" t="s">
        <v>39</v>
      </c>
      <c r="W17" s="69" t="s">
        <v>2</v>
      </c>
      <c r="X17" s="66" t="s">
        <v>12</v>
      </c>
      <c r="Y17" s="68" t="s">
        <v>39</v>
      </c>
      <c r="Z17" s="69" t="s">
        <v>2</v>
      </c>
      <c r="AA17" s="66" t="s">
        <v>12</v>
      </c>
      <c r="AB17" s="68" t="s">
        <v>39</v>
      </c>
      <c r="AC17" s="69" t="s">
        <v>2</v>
      </c>
      <c r="AD17" s="66" t="s">
        <v>12</v>
      </c>
      <c r="AE17" s="68" t="s">
        <v>39</v>
      </c>
      <c r="AF17" s="69" t="s">
        <v>2</v>
      </c>
      <c r="AG17" s="66" t="s">
        <v>12</v>
      </c>
      <c r="AH17" s="68" t="s">
        <v>39</v>
      </c>
      <c r="AI17" s="69" t="s">
        <v>2</v>
      </c>
      <c r="AJ17" s="113" t="s">
        <v>13</v>
      </c>
      <c r="AK17" s="114"/>
    </row>
    <row r="18" spans="1:37" x14ac:dyDescent="0.25">
      <c r="A18" s="10" t="str">
        <f>IF(AND(ISBLANK(B18), ISBLANK(C18)), "", B18 &amp; ROW(A1))</f>
        <v>11</v>
      </c>
      <c r="B18" s="59">
        <v>1</v>
      </c>
      <c r="C18" s="60" t="s">
        <v>27</v>
      </c>
      <c r="D18" s="61">
        <v>4</v>
      </c>
      <c r="E18" s="62" t="s">
        <v>31</v>
      </c>
      <c r="F18" s="63">
        <v>5</v>
      </c>
      <c r="G18" s="64"/>
      <c r="H18" s="65">
        <f t="shared" ref="H18:H49" si="0">IF($A18&lt;&gt;"", F18 * $D18 * (1 - G18), 0)</f>
        <v>20</v>
      </c>
      <c r="I18" s="63">
        <v>4</v>
      </c>
      <c r="J18" s="64"/>
      <c r="K18" s="65">
        <f t="shared" ref="K18:K49" si="1">IF($A18&lt;&gt;"", I18 * $D18 * (1 - J18), 0)</f>
        <v>16</v>
      </c>
      <c r="L18" s="63">
        <v>3</v>
      </c>
      <c r="M18" s="64"/>
      <c r="N18" s="65">
        <f t="shared" ref="N18:N49" si="2">IF($A18&lt;&gt;"", L18 * $D18 * (1 - M18), 0)</f>
        <v>12</v>
      </c>
      <c r="O18" s="63">
        <v>2</v>
      </c>
      <c r="P18" s="64"/>
      <c r="Q18" s="65">
        <f t="shared" ref="Q18:Q49" si="3">IF($A18&lt;&gt;"", O18 * $D18 * (1 - P18), 0)</f>
        <v>8</v>
      </c>
      <c r="R18" s="63"/>
      <c r="S18" s="64"/>
      <c r="T18" s="65">
        <f t="shared" ref="T18:T49" si="4">IF($A18&lt;&gt;"", R18 * $D18 * (1 - S18), 0)</f>
        <v>0</v>
      </c>
      <c r="U18" s="63"/>
      <c r="V18" s="64"/>
      <c r="W18" s="65">
        <f t="shared" ref="W18:W49" si="5">IF($A18&lt;&gt;"", U18 * $D18 * (1 - V18), 0)</f>
        <v>0</v>
      </c>
      <c r="X18" s="63"/>
      <c r="Y18" s="64"/>
      <c r="Z18" s="65">
        <f t="shared" ref="Z18:Z49" si="6">IF($A18&lt;&gt;"", X18 * $D18 * (1 - Y18), 0)</f>
        <v>0</v>
      </c>
      <c r="AA18" s="63"/>
      <c r="AB18" s="64"/>
      <c r="AC18" s="65">
        <f t="shared" ref="AC18:AC49" si="7">IF($A18&lt;&gt;"", AA18 * $D18 * (1 - AB18), 0)</f>
        <v>0</v>
      </c>
      <c r="AD18" s="63"/>
      <c r="AE18" s="64"/>
      <c r="AF18" s="65">
        <f t="shared" ref="AF18:AF49" si="8">IF($A18&lt;&gt;"", AD18 * $D18 * (1 - AE18), 0)</f>
        <v>0</v>
      </c>
      <c r="AG18" s="63"/>
      <c r="AH18" s="64"/>
      <c r="AI18" s="65">
        <f t="shared" ref="AI18:AI49" si="9">IF($A18&lt;&gt;"", AG18 * $D18 * (1 - AH18), 0)</f>
        <v>0</v>
      </c>
      <c r="AJ18" s="115" cm="1">
        <f t="array" ref="AJ18">GETMENORVALOR(H18,K18,N18,Q18,T18,W18,Z18,AC18,AF18,AI18)</f>
        <v>8</v>
      </c>
      <c r="AK18" s="116"/>
    </row>
    <row r="19" spans="1:37" x14ac:dyDescent="0.25">
      <c r="A19" s="10" t="str">
        <f t="shared" ref="A19:A82" si="10">IF(AND(ISBLANK(B19), ISBLANK(C19)), "", B19 &amp; ROW(A2))</f>
        <v>22</v>
      </c>
      <c r="B19" s="50">
        <v>2</v>
      </c>
      <c r="C19" s="39" t="s">
        <v>28</v>
      </c>
      <c r="D19" s="40">
        <v>3</v>
      </c>
      <c r="E19" s="41" t="s">
        <v>32</v>
      </c>
      <c r="F19" s="42">
        <v>0.5</v>
      </c>
      <c r="G19" s="43"/>
      <c r="H19" s="2">
        <f t="shared" si="0"/>
        <v>1.5</v>
      </c>
      <c r="I19" s="42">
        <v>1</v>
      </c>
      <c r="J19" s="43"/>
      <c r="K19" s="2">
        <v>3.3</v>
      </c>
      <c r="L19" s="42">
        <v>4</v>
      </c>
      <c r="M19" s="43"/>
      <c r="N19" s="2">
        <f t="shared" si="2"/>
        <v>12</v>
      </c>
      <c r="O19" s="42">
        <v>3</v>
      </c>
      <c r="P19" s="43"/>
      <c r="Q19" s="2">
        <f t="shared" si="3"/>
        <v>9</v>
      </c>
      <c r="R19" s="42"/>
      <c r="S19" s="43"/>
      <c r="T19" s="2">
        <f t="shared" si="4"/>
        <v>0</v>
      </c>
      <c r="U19" s="42"/>
      <c r="V19" s="43"/>
      <c r="W19" s="2">
        <f t="shared" si="5"/>
        <v>0</v>
      </c>
      <c r="X19" s="42"/>
      <c r="Y19" s="43"/>
      <c r="Z19" s="2">
        <f t="shared" si="6"/>
        <v>0</v>
      </c>
      <c r="AA19" s="42"/>
      <c r="AB19" s="43"/>
      <c r="AC19" s="2">
        <f t="shared" si="7"/>
        <v>0</v>
      </c>
      <c r="AD19" s="42"/>
      <c r="AE19" s="43"/>
      <c r="AF19" s="2">
        <f t="shared" si="8"/>
        <v>0</v>
      </c>
      <c r="AG19" s="42"/>
      <c r="AH19" s="43"/>
      <c r="AI19" s="2">
        <f t="shared" si="9"/>
        <v>0</v>
      </c>
      <c r="AJ19" s="97" cm="1">
        <f t="array" ref="AJ19">GETMENORVALOR(H19,K19,N19,Q19,T19,W19,Z19,AC19,AF19,AI19)</f>
        <v>1.5</v>
      </c>
      <c r="AK19" s="98"/>
    </row>
    <row r="20" spans="1:37" x14ac:dyDescent="0.25">
      <c r="A20" s="10" t="str">
        <f t="shared" si="10"/>
        <v>33</v>
      </c>
      <c r="B20" s="50">
        <v>3</v>
      </c>
      <c r="C20" s="39" t="s">
        <v>30</v>
      </c>
      <c r="D20" s="40">
        <v>2</v>
      </c>
      <c r="E20" s="41" t="s">
        <v>33</v>
      </c>
      <c r="F20" s="42">
        <v>3</v>
      </c>
      <c r="G20" s="43"/>
      <c r="H20" s="2">
        <f t="shared" si="0"/>
        <v>6</v>
      </c>
      <c r="I20" s="42">
        <v>2</v>
      </c>
      <c r="J20" s="43"/>
      <c r="K20" s="2">
        <f t="shared" si="1"/>
        <v>4</v>
      </c>
      <c r="L20" s="42">
        <v>1</v>
      </c>
      <c r="M20" s="43"/>
      <c r="N20" s="2">
        <f t="shared" si="2"/>
        <v>2</v>
      </c>
      <c r="O20" s="42">
        <v>4</v>
      </c>
      <c r="P20" s="43"/>
      <c r="Q20" s="2">
        <f t="shared" si="3"/>
        <v>8</v>
      </c>
      <c r="R20" s="42"/>
      <c r="S20" s="43"/>
      <c r="T20" s="2">
        <f t="shared" si="4"/>
        <v>0</v>
      </c>
      <c r="U20" s="42"/>
      <c r="V20" s="43"/>
      <c r="W20" s="2">
        <f t="shared" si="5"/>
        <v>0</v>
      </c>
      <c r="X20" s="42"/>
      <c r="Y20" s="43"/>
      <c r="Z20" s="2">
        <f t="shared" si="6"/>
        <v>0</v>
      </c>
      <c r="AA20" s="42"/>
      <c r="AB20" s="43"/>
      <c r="AC20" s="2">
        <f t="shared" si="7"/>
        <v>0</v>
      </c>
      <c r="AD20" s="42"/>
      <c r="AE20" s="43"/>
      <c r="AF20" s="2">
        <f t="shared" si="8"/>
        <v>0</v>
      </c>
      <c r="AG20" s="42"/>
      <c r="AH20" s="43"/>
      <c r="AI20" s="2">
        <f t="shared" si="9"/>
        <v>0</v>
      </c>
      <c r="AJ20" s="97" cm="1">
        <f t="array" ref="AJ20">GETMENORVALOR(H20,K20,N20,Q20,T20,W20,Z20,AC20,AF20,AI20)</f>
        <v>2</v>
      </c>
      <c r="AK20" s="98"/>
    </row>
    <row r="21" spans="1:37" ht="15.75" thickBot="1" x14ac:dyDescent="0.3">
      <c r="A21" s="10" t="str">
        <f t="shared" si="10"/>
        <v>44</v>
      </c>
      <c r="B21" s="50">
        <v>4</v>
      </c>
      <c r="C21" s="39" t="s">
        <v>29</v>
      </c>
      <c r="D21" s="40">
        <v>1</v>
      </c>
      <c r="E21" s="41" t="s">
        <v>34</v>
      </c>
      <c r="F21" s="42">
        <v>4</v>
      </c>
      <c r="G21" s="43"/>
      <c r="H21" s="2">
        <f t="shared" si="0"/>
        <v>4</v>
      </c>
      <c r="I21" s="42">
        <v>3</v>
      </c>
      <c r="J21" s="43"/>
      <c r="K21" s="2">
        <f t="shared" si="1"/>
        <v>3</v>
      </c>
      <c r="L21" s="42">
        <v>2</v>
      </c>
      <c r="M21" s="43"/>
      <c r="N21" s="2">
        <f t="shared" si="2"/>
        <v>2</v>
      </c>
      <c r="O21" s="42">
        <v>1</v>
      </c>
      <c r="P21" s="43"/>
      <c r="Q21" s="2">
        <f t="shared" si="3"/>
        <v>1</v>
      </c>
      <c r="R21" s="42"/>
      <c r="S21" s="43"/>
      <c r="T21" s="2">
        <f t="shared" si="4"/>
        <v>0</v>
      </c>
      <c r="U21" s="42"/>
      <c r="V21" s="43"/>
      <c r="W21" s="2">
        <f t="shared" si="5"/>
        <v>0</v>
      </c>
      <c r="X21" s="42"/>
      <c r="Y21" s="43"/>
      <c r="Z21" s="2">
        <f t="shared" si="6"/>
        <v>0</v>
      </c>
      <c r="AA21" s="42"/>
      <c r="AB21" s="43"/>
      <c r="AC21" s="2">
        <f t="shared" si="7"/>
        <v>0</v>
      </c>
      <c r="AD21" s="42"/>
      <c r="AE21" s="43"/>
      <c r="AF21" s="2">
        <f t="shared" si="8"/>
        <v>0</v>
      </c>
      <c r="AG21" s="42"/>
      <c r="AH21" s="43"/>
      <c r="AI21" s="2">
        <f t="shared" si="9"/>
        <v>0</v>
      </c>
      <c r="AJ21" s="97" cm="1">
        <f t="array" ref="AJ21">GETMENORVALOR(H21,K21,N21,Q21,T21,W21,Z21,AC21,AF21,AI21)</f>
        <v>1</v>
      </c>
      <c r="AK21" s="98"/>
    </row>
    <row r="22" spans="1:37" hidden="1" x14ac:dyDescent="0.25">
      <c r="A22" s="10" t="str">
        <f t="shared" si="10"/>
        <v/>
      </c>
      <c r="B22" s="50"/>
      <c r="C22" s="39"/>
      <c r="D22" s="40"/>
      <c r="E22" s="41"/>
      <c r="F22" s="42"/>
      <c r="G22" s="43"/>
      <c r="H22" s="2">
        <f t="shared" si="0"/>
        <v>0</v>
      </c>
      <c r="I22" s="42"/>
      <c r="J22" s="43"/>
      <c r="K22" s="2">
        <f t="shared" si="1"/>
        <v>0</v>
      </c>
      <c r="L22" s="42"/>
      <c r="M22" s="43"/>
      <c r="N22" s="2">
        <f t="shared" si="2"/>
        <v>0</v>
      </c>
      <c r="O22" s="42"/>
      <c r="P22" s="43"/>
      <c r="Q22" s="2">
        <f t="shared" si="3"/>
        <v>0</v>
      </c>
      <c r="R22" s="42"/>
      <c r="S22" s="43"/>
      <c r="T22" s="2">
        <f t="shared" si="4"/>
        <v>0</v>
      </c>
      <c r="U22" s="42"/>
      <c r="V22" s="43"/>
      <c r="W22" s="2">
        <f t="shared" si="5"/>
        <v>0</v>
      </c>
      <c r="X22" s="42"/>
      <c r="Y22" s="43"/>
      <c r="Z22" s="2">
        <f t="shared" si="6"/>
        <v>0</v>
      </c>
      <c r="AA22" s="42"/>
      <c r="AB22" s="43"/>
      <c r="AC22" s="2">
        <f t="shared" si="7"/>
        <v>0</v>
      </c>
      <c r="AD22" s="42"/>
      <c r="AE22" s="43"/>
      <c r="AF22" s="2">
        <f t="shared" si="8"/>
        <v>0</v>
      </c>
      <c r="AG22" s="42"/>
      <c r="AH22" s="43"/>
      <c r="AI22" s="2">
        <f t="shared" si="9"/>
        <v>0</v>
      </c>
      <c r="AJ22" s="97" t="str" cm="1">
        <f t="array" ref="AJ22">GETMENORVALOR(H22,K22,N22,Q22,T22,W22,Z22,AC22,AF22,AI22)</f>
        <v/>
      </c>
      <c r="AK22" s="98"/>
    </row>
    <row r="23" spans="1:37" hidden="1" x14ac:dyDescent="0.25">
      <c r="A23" s="10" t="str">
        <f t="shared" si="10"/>
        <v/>
      </c>
      <c r="B23" s="50"/>
      <c r="C23" s="39"/>
      <c r="D23" s="40"/>
      <c r="E23" s="41"/>
      <c r="F23" s="42"/>
      <c r="G23" s="43"/>
      <c r="H23" s="2">
        <f t="shared" si="0"/>
        <v>0</v>
      </c>
      <c r="I23" s="42"/>
      <c r="J23" s="43"/>
      <c r="K23" s="2">
        <f t="shared" si="1"/>
        <v>0</v>
      </c>
      <c r="L23" s="42"/>
      <c r="M23" s="43"/>
      <c r="N23" s="2">
        <f t="shared" si="2"/>
        <v>0</v>
      </c>
      <c r="O23" s="42"/>
      <c r="P23" s="43"/>
      <c r="Q23" s="2">
        <f t="shared" si="3"/>
        <v>0</v>
      </c>
      <c r="R23" s="42"/>
      <c r="S23" s="43"/>
      <c r="T23" s="2">
        <f t="shared" si="4"/>
        <v>0</v>
      </c>
      <c r="U23" s="42"/>
      <c r="V23" s="43"/>
      <c r="W23" s="2">
        <f t="shared" si="5"/>
        <v>0</v>
      </c>
      <c r="X23" s="42"/>
      <c r="Y23" s="43"/>
      <c r="Z23" s="2">
        <f t="shared" si="6"/>
        <v>0</v>
      </c>
      <c r="AA23" s="42"/>
      <c r="AB23" s="43"/>
      <c r="AC23" s="2">
        <f t="shared" si="7"/>
        <v>0</v>
      </c>
      <c r="AD23" s="42"/>
      <c r="AE23" s="43"/>
      <c r="AF23" s="2">
        <f t="shared" si="8"/>
        <v>0</v>
      </c>
      <c r="AG23" s="42"/>
      <c r="AH23" s="43"/>
      <c r="AI23" s="2">
        <f t="shared" si="9"/>
        <v>0</v>
      </c>
      <c r="AJ23" s="97" t="str" cm="1">
        <f t="array" ref="AJ23">GETMENORVALOR(H23,K23,N23,Q23,T23,W23,Z23,AC23,AF23,AI23)</f>
        <v/>
      </c>
      <c r="AK23" s="98"/>
    </row>
    <row r="24" spans="1:37" hidden="1" x14ac:dyDescent="0.25">
      <c r="A24" s="10" t="str">
        <f t="shared" si="10"/>
        <v/>
      </c>
      <c r="B24" s="50"/>
      <c r="C24" s="39"/>
      <c r="D24" s="40"/>
      <c r="E24" s="41"/>
      <c r="F24" s="42"/>
      <c r="G24" s="43"/>
      <c r="H24" s="2">
        <f t="shared" si="0"/>
        <v>0</v>
      </c>
      <c r="I24" s="42"/>
      <c r="J24" s="43"/>
      <c r="K24" s="2">
        <f t="shared" si="1"/>
        <v>0</v>
      </c>
      <c r="L24" s="42"/>
      <c r="M24" s="43"/>
      <c r="N24" s="2">
        <f t="shared" si="2"/>
        <v>0</v>
      </c>
      <c r="O24" s="42"/>
      <c r="P24" s="43"/>
      <c r="Q24" s="2">
        <f t="shared" si="3"/>
        <v>0</v>
      </c>
      <c r="R24" s="42"/>
      <c r="S24" s="43"/>
      <c r="T24" s="2">
        <f t="shared" si="4"/>
        <v>0</v>
      </c>
      <c r="U24" s="42"/>
      <c r="V24" s="43"/>
      <c r="W24" s="2">
        <f t="shared" si="5"/>
        <v>0</v>
      </c>
      <c r="X24" s="42"/>
      <c r="Y24" s="43"/>
      <c r="Z24" s="2">
        <f t="shared" si="6"/>
        <v>0</v>
      </c>
      <c r="AA24" s="42"/>
      <c r="AB24" s="43"/>
      <c r="AC24" s="2">
        <f t="shared" si="7"/>
        <v>0</v>
      </c>
      <c r="AD24" s="42"/>
      <c r="AE24" s="43"/>
      <c r="AF24" s="2">
        <f t="shared" si="8"/>
        <v>0</v>
      </c>
      <c r="AG24" s="42"/>
      <c r="AH24" s="43"/>
      <c r="AI24" s="2">
        <f t="shared" si="9"/>
        <v>0</v>
      </c>
      <c r="AJ24" s="97" t="str" cm="1">
        <f t="array" ref="AJ24">GETMENORVALOR(H24,K24,N24,Q24,T24,W24,Z24,AC24,AF24,AI24)</f>
        <v/>
      </c>
      <c r="AK24" s="98"/>
    </row>
    <row r="25" spans="1:37" hidden="1" x14ac:dyDescent="0.25">
      <c r="A25" s="10" t="str">
        <f t="shared" si="10"/>
        <v/>
      </c>
      <c r="B25" s="50"/>
      <c r="C25" s="39"/>
      <c r="D25" s="40"/>
      <c r="E25" s="41"/>
      <c r="F25" s="42"/>
      <c r="G25" s="43"/>
      <c r="H25" s="2">
        <f t="shared" si="0"/>
        <v>0</v>
      </c>
      <c r="I25" s="42"/>
      <c r="J25" s="43"/>
      <c r="K25" s="2">
        <f t="shared" si="1"/>
        <v>0</v>
      </c>
      <c r="L25" s="42"/>
      <c r="M25" s="43"/>
      <c r="N25" s="2">
        <f t="shared" si="2"/>
        <v>0</v>
      </c>
      <c r="O25" s="42"/>
      <c r="P25" s="43"/>
      <c r="Q25" s="2">
        <f t="shared" si="3"/>
        <v>0</v>
      </c>
      <c r="R25" s="42"/>
      <c r="S25" s="43"/>
      <c r="T25" s="2">
        <f t="shared" si="4"/>
        <v>0</v>
      </c>
      <c r="U25" s="42"/>
      <c r="V25" s="43"/>
      <c r="W25" s="2">
        <f t="shared" si="5"/>
        <v>0</v>
      </c>
      <c r="X25" s="42"/>
      <c r="Y25" s="43"/>
      <c r="Z25" s="2">
        <f t="shared" si="6"/>
        <v>0</v>
      </c>
      <c r="AA25" s="42"/>
      <c r="AB25" s="43"/>
      <c r="AC25" s="2">
        <f t="shared" si="7"/>
        <v>0</v>
      </c>
      <c r="AD25" s="42"/>
      <c r="AE25" s="43"/>
      <c r="AF25" s="2">
        <f t="shared" si="8"/>
        <v>0</v>
      </c>
      <c r="AG25" s="42"/>
      <c r="AH25" s="43"/>
      <c r="AI25" s="2">
        <f t="shared" si="9"/>
        <v>0</v>
      </c>
      <c r="AJ25" s="97" t="str" cm="1">
        <f t="array" ref="AJ25">GETMENORVALOR(H25,K25,N25,Q25,T25,W25,Z25,AC25,AF25,AI25)</f>
        <v/>
      </c>
      <c r="AK25" s="98"/>
    </row>
    <row r="26" spans="1:37" hidden="1" x14ac:dyDescent="0.25">
      <c r="A26" s="10" t="str">
        <f t="shared" si="10"/>
        <v/>
      </c>
      <c r="B26" s="50"/>
      <c r="C26" s="39"/>
      <c r="D26" s="40"/>
      <c r="E26" s="41"/>
      <c r="F26" s="42"/>
      <c r="G26" s="43"/>
      <c r="H26" s="2">
        <f t="shared" si="0"/>
        <v>0</v>
      </c>
      <c r="I26" s="42"/>
      <c r="J26" s="43"/>
      <c r="K26" s="2">
        <f t="shared" si="1"/>
        <v>0</v>
      </c>
      <c r="L26" s="42"/>
      <c r="M26" s="43"/>
      <c r="N26" s="2">
        <f t="shared" si="2"/>
        <v>0</v>
      </c>
      <c r="O26" s="42"/>
      <c r="P26" s="43"/>
      <c r="Q26" s="2">
        <f t="shared" si="3"/>
        <v>0</v>
      </c>
      <c r="R26" s="42"/>
      <c r="S26" s="43"/>
      <c r="T26" s="2">
        <f t="shared" si="4"/>
        <v>0</v>
      </c>
      <c r="U26" s="42"/>
      <c r="V26" s="43"/>
      <c r="W26" s="2">
        <f t="shared" si="5"/>
        <v>0</v>
      </c>
      <c r="X26" s="42"/>
      <c r="Y26" s="43"/>
      <c r="Z26" s="2">
        <f t="shared" si="6"/>
        <v>0</v>
      </c>
      <c r="AA26" s="42"/>
      <c r="AB26" s="43"/>
      <c r="AC26" s="2">
        <f t="shared" si="7"/>
        <v>0</v>
      </c>
      <c r="AD26" s="42"/>
      <c r="AE26" s="43"/>
      <c r="AF26" s="2">
        <f t="shared" si="8"/>
        <v>0</v>
      </c>
      <c r="AG26" s="42"/>
      <c r="AH26" s="43"/>
      <c r="AI26" s="2">
        <f t="shared" si="9"/>
        <v>0</v>
      </c>
      <c r="AJ26" s="97" t="str" cm="1">
        <f t="array" ref="AJ26">GETMENORVALOR(H26,K26,N26,Q26,T26,W26,Z26,AC26,AF26,AI26)</f>
        <v/>
      </c>
      <c r="AK26" s="98"/>
    </row>
    <row r="27" spans="1:37" hidden="1" x14ac:dyDescent="0.25">
      <c r="A27" s="10" t="str">
        <f t="shared" si="10"/>
        <v/>
      </c>
      <c r="B27" s="50"/>
      <c r="C27" s="39"/>
      <c r="D27" s="40"/>
      <c r="E27" s="41"/>
      <c r="F27" s="42"/>
      <c r="G27" s="43"/>
      <c r="H27" s="2">
        <f t="shared" si="0"/>
        <v>0</v>
      </c>
      <c r="I27" s="42"/>
      <c r="J27" s="43"/>
      <c r="K27" s="2">
        <f t="shared" si="1"/>
        <v>0</v>
      </c>
      <c r="L27" s="42"/>
      <c r="M27" s="43"/>
      <c r="N27" s="2">
        <f t="shared" si="2"/>
        <v>0</v>
      </c>
      <c r="O27" s="42"/>
      <c r="P27" s="43"/>
      <c r="Q27" s="2">
        <f t="shared" si="3"/>
        <v>0</v>
      </c>
      <c r="R27" s="42"/>
      <c r="S27" s="43"/>
      <c r="T27" s="2">
        <f t="shared" si="4"/>
        <v>0</v>
      </c>
      <c r="U27" s="42"/>
      <c r="V27" s="43"/>
      <c r="W27" s="2">
        <f t="shared" si="5"/>
        <v>0</v>
      </c>
      <c r="X27" s="42"/>
      <c r="Y27" s="43"/>
      <c r="Z27" s="2">
        <f t="shared" si="6"/>
        <v>0</v>
      </c>
      <c r="AA27" s="42"/>
      <c r="AB27" s="43"/>
      <c r="AC27" s="2">
        <f t="shared" si="7"/>
        <v>0</v>
      </c>
      <c r="AD27" s="42"/>
      <c r="AE27" s="43"/>
      <c r="AF27" s="2">
        <f t="shared" si="8"/>
        <v>0</v>
      </c>
      <c r="AG27" s="42"/>
      <c r="AH27" s="43"/>
      <c r="AI27" s="2">
        <f t="shared" si="9"/>
        <v>0</v>
      </c>
      <c r="AJ27" s="97" t="str" cm="1">
        <f t="array" ref="AJ27">GETMENORVALOR(H27,K27,N27,Q27,T27,W27,Z27,AC27,AF27,AI27)</f>
        <v/>
      </c>
      <c r="AK27" s="98"/>
    </row>
    <row r="28" spans="1:37" hidden="1" x14ac:dyDescent="0.25">
      <c r="A28" s="10" t="str">
        <f t="shared" si="10"/>
        <v/>
      </c>
      <c r="B28" s="50"/>
      <c r="C28" s="39"/>
      <c r="D28" s="40"/>
      <c r="E28" s="41"/>
      <c r="F28" s="42"/>
      <c r="G28" s="43"/>
      <c r="H28" s="2">
        <f t="shared" si="0"/>
        <v>0</v>
      </c>
      <c r="I28" s="42"/>
      <c r="J28" s="43"/>
      <c r="K28" s="2">
        <f t="shared" si="1"/>
        <v>0</v>
      </c>
      <c r="L28" s="42"/>
      <c r="M28" s="43"/>
      <c r="N28" s="2">
        <f t="shared" si="2"/>
        <v>0</v>
      </c>
      <c r="O28" s="42"/>
      <c r="P28" s="43"/>
      <c r="Q28" s="2">
        <f t="shared" si="3"/>
        <v>0</v>
      </c>
      <c r="R28" s="42"/>
      <c r="S28" s="43"/>
      <c r="T28" s="2">
        <f t="shared" si="4"/>
        <v>0</v>
      </c>
      <c r="U28" s="42"/>
      <c r="V28" s="43"/>
      <c r="W28" s="2">
        <f t="shared" si="5"/>
        <v>0</v>
      </c>
      <c r="X28" s="42"/>
      <c r="Y28" s="43"/>
      <c r="Z28" s="2">
        <f t="shared" si="6"/>
        <v>0</v>
      </c>
      <c r="AA28" s="42"/>
      <c r="AB28" s="43"/>
      <c r="AC28" s="2">
        <f t="shared" si="7"/>
        <v>0</v>
      </c>
      <c r="AD28" s="42"/>
      <c r="AE28" s="43"/>
      <c r="AF28" s="2">
        <f t="shared" si="8"/>
        <v>0</v>
      </c>
      <c r="AG28" s="42"/>
      <c r="AH28" s="43"/>
      <c r="AI28" s="2">
        <f t="shared" si="9"/>
        <v>0</v>
      </c>
      <c r="AJ28" s="97" t="str" cm="1">
        <f t="array" ref="AJ28">GETMENORVALOR(H28,K28,N28,Q28,T28,W28,Z28,AC28,AF28,AI28)</f>
        <v/>
      </c>
      <c r="AK28" s="98"/>
    </row>
    <row r="29" spans="1:37" hidden="1" x14ac:dyDescent="0.25">
      <c r="A29" s="10" t="str">
        <f t="shared" si="10"/>
        <v/>
      </c>
      <c r="B29" s="50"/>
      <c r="C29" s="39"/>
      <c r="D29" s="40"/>
      <c r="E29" s="41"/>
      <c r="F29" s="42"/>
      <c r="G29" s="43"/>
      <c r="H29" s="2">
        <f t="shared" si="0"/>
        <v>0</v>
      </c>
      <c r="I29" s="42"/>
      <c r="J29" s="43"/>
      <c r="K29" s="2">
        <f t="shared" si="1"/>
        <v>0</v>
      </c>
      <c r="L29" s="42"/>
      <c r="M29" s="43"/>
      <c r="N29" s="2">
        <f t="shared" si="2"/>
        <v>0</v>
      </c>
      <c r="O29" s="42"/>
      <c r="P29" s="43"/>
      <c r="Q29" s="2">
        <f t="shared" si="3"/>
        <v>0</v>
      </c>
      <c r="R29" s="42"/>
      <c r="S29" s="43"/>
      <c r="T29" s="2">
        <f t="shared" si="4"/>
        <v>0</v>
      </c>
      <c r="U29" s="42"/>
      <c r="V29" s="43"/>
      <c r="W29" s="2">
        <f t="shared" si="5"/>
        <v>0</v>
      </c>
      <c r="X29" s="42"/>
      <c r="Y29" s="43"/>
      <c r="Z29" s="2">
        <f t="shared" si="6"/>
        <v>0</v>
      </c>
      <c r="AA29" s="42"/>
      <c r="AB29" s="43"/>
      <c r="AC29" s="2">
        <f t="shared" si="7"/>
        <v>0</v>
      </c>
      <c r="AD29" s="42"/>
      <c r="AE29" s="43"/>
      <c r="AF29" s="2">
        <f t="shared" si="8"/>
        <v>0</v>
      </c>
      <c r="AG29" s="42"/>
      <c r="AH29" s="43"/>
      <c r="AI29" s="2">
        <f t="shared" si="9"/>
        <v>0</v>
      </c>
      <c r="AJ29" s="97" t="str" cm="1">
        <f t="array" ref="AJ29">GETMENORVALOR(H29,K29,N29,Q29,T29,W29,Z29,AC29,AF29,AI29)</f>
        <v/>
      </c>
      <c r="AK29" s="98"/>
    </row>
    <row r="30" spans="1:37" hidden="1" x14ac:dyDescent="0.25">
      <c r="A30" s="10" t="str">
        <f t="shared" si="10"/>
        <v/>
      </c>
      <c r="B30" s="50"/>
      <c r="C30" s="39"/>
      <c r="D30" s="40"/>
      <c r="E30" s="41"/>
      <c r="F30" s="42"/>
      <c r="G30" s="43"/>
      <c r="H30" s="2">
        <f t="shared" si="0"/>
        <v>0</v>
      </c>
      <c r="I30" s="42"/>
      <c r="J30" s="43"/>
      <c r="K30" s="2">
        <f t="shared" si="1"/>
        <v>0</v>
      </c>
      <c r="L30" s="42"/>
      <c r="M30" s="43"/>
      <c r="N30" s="2">
        <f t="shared" si="2"/>
        <v>0</v>
      </c>
      <c r="O30" s="42"/>
      <c r="P30" s="43"/>
      <c r="Q30" s="2">
        <f t="shared" si="3"/>
        <v>0</v>
      </c>
      <c r="R30" s="42"/>
      <c r="S30" s="43"/>
      <c r="T30" s="2">
        <f t="shared" si="4"/>
        <v>0</v>
      </c>
      <c r="U30" s="42"/>
      <c r="V30" s="43"/>
      <c r="W30" s="2">
        <f t="shared" si="5"/>
        <v>0</v>
      </c>
      <c r="X30" s="42"/>
      <c r="Y30" s="43"/>
      <c r="Z30" s="2">
        <f t="shared" si="6"/>
        <v>0</v>
      </c>
      <c r="AA30" s="42"/>
      <c r="AB30" s="43"/>
      <c r="AC30" s="2">
        <f t="shared" si="7"/>
        <v>0</v>
      </c>
      <c r="AD30" s="42"/>
      <c r="AE30" s="43"/>
      <c r="AF30" s="2">
        <f t="shared" si="8"/>
        <v>0</v>
      </c>
      <c r="AG30" s="42"/>
      <c r="AH30" s="43"/>
      <c r="AI30" s="2">
        <f t="shared" si="9"/>
        <v>0</v>
      </c>
      <c r="AJ30" s="97" t="str" cm="1">
        <f t="array" ref="AJ30">GETMENORVALOR(H30,K30,N30,Q30,T30,W30,Z30,AC30,AF30,AI30)</f>
        <v/>
      </c>
      <c r="AK30" s="98"/>
    </row>
    <row r="31" spans="1:37" hidden="1" x14ac:dyDescent="0.25">
      <c r="A31" s="10" t="str">
        <f t="shared" si="10"/>
        <v/>
      </c>
      <c r="B31" s="50"/>
      <c r="C31" s="39"/>
      <c r="D31" s="40"/>
      <c r="E31" s="41"/>
      <c r="F31" s="42"/>
      <c r="G31" s="43"/>
      <c r="H31" s="2">
        <f t="shared" si="0"/>
        <v>0</v>
      </c>
      <c r="I31" s="42"/>
      <c r="J31" s="43"/>
      <c r="K31" s="2">
        <f t="shared" si="1"/>
        <v>0</v>
      </c>
      <c r="L31" s="42"/>
      <c r="M31" s="43"/>
      <c r="N31" s="2">
        <f t="shared" si="2"/>
        <v>0</v>
      </c>
      <c r="O31" s="42"/>
      <c r="P31" s="43"/>
      <c r="Q31" s="2">
        <f t="shared" si="3"/>
        <v>0</v>
      </c>
      <c r="R31" s="42"/>
      <c r="S31" s="43"/>
      <c r="T31" s="2">
        <f t="shared" si="4"/>
        <v>0</v>
      </c>
      <c r="U31" s="42"/>
      <c r="V31" s="43"/>
      <c r="W31" s="2">
        <f t="shared" si="5"/>
        <v>0</v>
      </c>
      <c r="X31" s="42"/>
      <c r="Y31" s="43"/>
      <c r="Z31" s="2">
        <f t="shared" si="6"/>
        <v>0</v>
      </c>
      <c r="AA31" s="42"/>
      <c r="AB31" s="43"/>
      <c r="AC31" s="2">
        <f t="shared" si="7"/>
        <v>0</v>
      </c>
      <c r="AD31" s="42"/>
      <c r="AE31" s="43"/>
      <c r="AF31" s="2">
        <f t="shared" si="8"/>
        <v>0</v>
      </c>
      <c r="AG31" s="42"/>
      <c r="AH31" s="43"/>
      <c r="AI31" s="2">
        <f t="shared" si="9"/>
        <v>0</v>
      </c>
      <c r="AJ31" s="97" t="str" cm="1">
        <f t="array" ref="AJ31">GETMENORVALOR(H31,K31,N31,Q31,T31,W31,Z31,AC31,AF31,AI31)</f>
        <v/>
      </c>
      <c r="AK31" s="98"/>
    </row>
    <row r="32" spans="1:37" hidden="1" x14ac:dyDescent="0.25">
      <c r="A32" s="10" t="str">
        <f t="shared" si="10"/>
        <v/>
      </c>
      <c r="B32" s="50"/>
      <c r="C32" s="39"/>
      <c r="D32" s="40"/>
      <c r="E32" s="41"/>
      <c r="F32" s="42"/>
      <c r="G32" s="43"/>
      <c r="H32" s="2">
        <f t="shared" si="0"/>
        <v>0</v>
      </c>
      <c r="I32" s="42"/>
      <c r="J32" s="43"/>
      <c r="K32" s="2">
        <f t="shared" si="1"/>
        <v>0</v>
      </c>
      <c r="L32" s="42"/>
      <c r="M32" s="43"/>
      <c r="N32" s="2">
        <f t="shared" si="2"/>
        <v>0</v>
      </c>
      <c r="O32" s="42"/>
      <c r="P32" s="43"/>
      <c r="Q32" s="2">
        <f t="shared" si="3"/>
        <v>0</v>
      </c>
      <c r="R32" s="42"/>
      <c r="S32" s="43"/>
      <c r="T32" s="2">
        <f t="shared" si="4"/>
        <v>0</v>
      </c>
      <c r="U32" s="42"/>
      <c r="V32" s="43"/>
      <c r="W32" s="2">
        <f t="shared" si="5"/>
        <v>0</v>
      </c>
      <c r="X32" s="42"/>
      <c r="Y32" s="43"/>
      <c r="Z32" s="2">
        <f t="shared" si="6"/>
        <v>0</v>
      </c>
      <c r="AA32" s="42"/>
      <c r="AB32" s="43"/>
      <c r="AC32" s="2">
        <f t="shared" si="7"/>
        <v>0</v>
      </c>
      <c r="AD32" s="42"/>
      <c r="AE32" s="43"/>
      <c r="AF32" s="2">
        <f t="shared" si="8"/>
        <v>0</v>
      </c>
      <c r="AG32" s="42"/>
      <c r="AH32" s="43"/>
      <c r="AI32" s="2">
        <f t="shared" si="9"/>
        <v>0</v>
      </c>
      <c r="AJ32" s="97" t="str" cm="1">
        <f t="array" ref="AJ32">GETMENORVALOR(H32,K32,N32,Q32,T32,W32,Z32,AC32,AF32,AI32)</f>
        <v/>
      </c>
      <c r="AK32" s="98"/>
    </row>
    <row r="33" spans="1:37" hidden="1" x14ac:dyDescent="0.25">
      <c r="A33" s="10" t="str">
        <f t="shared" si="10"/>
        <v/>
      </c>
      <c r="B33" s="50"/>
      <c r="C33" s="39"/>
      <c r="D33" s="40"/>
      <c r="E33" s="41"/>
      <c r="F33" s="42"/>
      <c r="G33" s="43"/>
      <c r="H33" s="2">
        <f t="shared" si="0"/>
        <v>0</v>
      </c>
      <c r="I33" s="42"/>
      <c r="J33" s="43"/>
      <c r="K33" s="2">
        <f t="shared" si="1"/>
        <v>0</v>
      </c>
      <c r="L33" s="42"/>
      <c r="M33" s="43"/>
      <c r="N33" s="2">
        <f t="shared" si="2"/>
        <v>0</v>
      </c>
      <c r="O33" s="42"/>
      <c r="P33" s="43"/>
      <c r="Q33" s="2">
        <f t="shared" si="3"/>
        <v>0</v>
      </c>
      <c r="R33" s="42"/>
      <c r="S33" s="43"/>
      <c r="T33" s="2">
        <f t="shared" si="4"/>
        <v>0</v>
      </c>
      <c r="U33" s="42"/>
      <c r="V33" s="43"/>
      <c r="W33" s="2">
        <f t="shared" si="5"/>
        <v>0</v>
      </c>
      <c r="X33" s="42"/>
      <c r="Y33" s="43"/>
      <c r="Z33" s="2">
        <f t="shared" si="6"/>
        <v>0</v>
      </c>
      <c r="AA33" s="42"/>
      <c r="AB33" s="43"/>
      <c r="AC33" s="2">
        <f t="shared" si="7"/>
        <v>0</v>
      </c>
      <c r="AD33" s="42"/>
      <c r="AE33" s="43"/>
      <c r="AF33" s="2">
        <f t="shared" si="8"/>
        <v>0</v>
      </c>
      <c r="AG33" s="42"/>
      <c r="AH33" s="43"/>
      <c r="AI33" s="2">
        <f t="shared" si="9"/>
        <v>0</v>
      </c>
      <c r="AJ33" s="97" t="str" cm="1">
        <f t="array" ref="AJ33">GETMENORVALOR(H33,K33,N33,Q33,T33,W33,Z33,AC33,AF33,AI33)</f>
        <v/>
      </c>
      <c r="AK33" s="98"/>
    </row>
    <row r="34" spans="1:37" hidden="1" x14ac:dyDescent="0.25">
      <c r="A34" s="10" t="str">
        <f t="shared" si="10"/>
        <v/>
      </c>
      <c r="B34" s="50"/>
      <c r="C34" s="39"/>
      <c r="D34" s="40"/>
      <c r="E34" s="41"/>
      <c r="F34" s="42"/>
      <c r="G34" s="43"/>
      <c r="H34" s="2">
        <f t="shared" si="0"/>
        <v>0</v>
      </c>
      <c r="I34" s="42"/>
      <c r="J34" s="43"/>
      <c r="K34" s="2">
        <f t="shared" si="1"/>
        <v>0</v>
      </c>
      <c r="L34" s="42"/>
      <c r="M34" s="43"/>
      <c r="N34" s="2">
        <f t="shared" si="2"/>
        <v>0</v>
      </c>
      <c r="O34" s="42"/>
      <c r="P34" s="43"/>
      <c r="Q34" s="2">
        <f t="shared" si="3"/>
        <v>0</v>
      </c>
      <c r="R34" s="42"/>
      <c r="S34" s="43"/>
      <c r="T34" s="2">
        <f t="shared" si="4"/>
        <v>0</v>
      </c>
      <c r="U34" s="42"/>
      <c r="V34" s="43"/>
      <c r="W34" s="2">
        <f t="shared" si="5"/>
        <v>0</v>
      </c>
      <c r="X34" s="42"/>
      <c r="Y34" s="43"/>
      <c r="Z34" s="2">
        <f t="shared" si="6"/>
        <v>0</v>
      </c>
      <c r="AA34" s="42"/>
      <c r="AB34" s="43"/>
      <c r="AC34" s="2">
        <f t="shared" si="7"/>
        <v>0</v>
      </c>
      <c r="AD34" s="42"/>
      <c r="AE34" s="43"/>
      <c r="AF34" s="2">
        <f t="shared" si="8"/>
        <v>0</v>
      </c>
      <c r="AG34" s="42"/>
      <c r="AH34" s="43"/>
      <c r="AI34" s="2">
        <f t="shared" si="9"/>
        <v>0</v>
      </c>
      <c r="AJ34" s="97" t="str" cm="1">
        <f t="array" ref="AJ34">GETMENORVALOR(H34,K34,N34,Q34,T34,W34,Z34,AC34,AF34,AI34)</f>
        <v/>
      </c>
      <c r="AK34" s="98"/>
    </row>
    <row r="35" spans="1:37" hidden="1" x14ac:dyDescent="0.25">
      <c r="A35" s="10" t="str">
        <f t="shared" si="10"/>
        <v/>
      </c>
      <c r="B35" s="50"/>
      <c r="C35" s="39"/>
      <c r="D35" s="40"/>
      <c r="E35" s="41"/>
      <c r="F35" s="42"/>
      <c r="G35" s="43"/>
      <c r="H35" s="2">
        <f t="shared" si="0"/>
        <v>0</v>
      </c>
      <c r="I35" s="42"/>
      <c r="J35" s="43"/>
      <c r="K35" s="2">
        <f t="shared" si="1"/>
        <v>0</v>
      </c>
      <c r="L35" s="42"/>
      <c r="M35" s="43"/>
      <c r="N35" s="2">
        <f t="shared" si="2"/>
        <v>0</v>
      </c>
      <c r="O35" s="42"/>
      <c r="P35" s="43"/>
      <c r="Q35" s="2">
        <f t="shared" si="3"/>
        <v>0</v>
      </c>
      <c r="R35" s="42"/>
      <c r="S35" s="43"/>
      <c r="T35" s="2">
        <f t="shared" si="4"/>
        <v>0</v>
      </c>
      <c r="U35" s="42"/>
      <c r="V35" s="43"/>
      <c r="W35" s="2">
        <f t="shared" si="5"/>
        <v>0</v>
      </c>
      <c r="X35" s="42"/>
      <c r="Y35" s="43"/>
      <c r="Z35" s="2">
        <f t="shared" si="6"/>
        <v>0</v>
      </c>
      <c r="AA35" s="42"/>
      <c r="AB35" s="43"/>
      <c r="AC35" s="2">
        <f t="shared" si="7"/>
        <v>0</v>
      </c>
      <c r="AD35" s="42"/>
      <c r="AE35" s="43"/>
      <c r="AF35" s="2">
        <f t="shared" si="8"/>
        <v>0</v>
      </c>
      <c r="AG35" s="42"/>
      <c r="AH35" s="43"/>
      <c r="AI35" s="2">
        <f t="shared" si="9"/>
        <v>0</v>
      </c>
      <c r="AJ35" s="97" t="str" cm="1">
        <f t="array" ref="AJ35">GETMENORVALOR(H35,K35,N35,Q35,T35,W35,Z35,AC35,AF35,AI35)</f>
        <v/>
      </c>
      <c r="AK35" s="98"/>
    </row>
    <row r="36" spans="1:37" hidden="1" x14ac:dyDescent="0.25">
      <c r="A36" s="10" t="str">
        <f t="shared" si="10"/>
        <v/>
      </c>
      <c r="B36" s="50"/>
      <c r="C36" s="39"/>
      <c r="D36" s="40"/>
      <c r="E36" s="41"/>
      <c r="F36" s="42"/>
      <c r="G36" s="43"/>
      <c r="H36" s="2">
        <f t="shared" si="0"/>
        <v>0</v>
      </c>
      <c r="I36" s="42"/>
      <c r="J36" s="43"/>
      <c r="K36" s="2">
        <f t="shared" si="1"/>
        <v>0</v>
      </c>
      <c r="L36" s="42"/>
      <c r="M36" s="43"/>
      <c r="N36" s="2">
        <f t="shared" si="2"/>
        <v>0</v>
      </c>
      <c r="O36" s="42"/>
      <c r="P36" s="43"/>
      <c r="Q36" s="2">
        <f t="shared" si="3"/>
        <v>0</v>
      </c>
      <c r="R36" s="42"/>
      <c r="S36" s="43"/>
      <c r="T36" s="2">
        <f t="shared" si="4"/>
        <v>0</v>
      </c>
      <c r="U36" s="42"/>
      <c r="V36" s="43"/>
      <c r="W36" s="2">
        <f t="shared" si="5"/>
        <v>0</v>
      </c>
      <c r="X36" s="42"/>
      <c r="Y36" s="43"/>
      <c r="Z36" s="2">
        <f t="shared" si="6"/>
        <v>0</v>
      </c>
      <c r="AA36" s="42"/>
      <c r="AB36" s="43"/>
      <c r="AC36" s="2">
        <f t="shared" si="7"/>
        <v>0</v>
      </c>
      <c r="AD36" s="42"/>
      <c r="AE36" s="43"/>
      <c r="AF36" s="2">
        <f t="shared" si="8"/>
        <v>0</v>
      </c>
      <c r="AG36" s="42"/>
      <c r="AH36" s="43"/>
      <c r="AI36" s="2">
        <f t="shared" si="9"/>
        <v>0</v>
      </c>
      <c r="AJ36" s="97" t="str" cm="1">
        <f t="array" ref="AJ36">GETMENORVALOR(H36,K36,N36,Q36,T36,W36,Z36,AC36,AF36,AI36)</f>
        <v/>
      </c>
      <c r="AK36" s="98"/>
    </row>
    <row r="37" spans="1:37" hidden="1" x14ac:dyDescent="0.25">
      <c r="A37" s="10" t="str">
        <f t="shared" si="10"/>
        <v/>
      </c>
      <c r="B37" s="50"/>
      <c r="C37" s="39"/>
      <c r="D37" s="40"/>
      <c r="E37" s="41"/>
      <c r="F37" s="42"/>
      <c r="G37" s="43"/>
      <c r="H37" s="2">
        <f t="shared" si="0"/>
        <v>0</v>
      </c>
      <c r="I37" s="42"/>
      <c r="J37" s="43"/>
      <c r="K37" s="2">
        <f t="shared" si="1"/>
        <v>0</v>
      </c>
      <c r="L37" s="42"/>
      <c r="M37" s="43"/>
      <c r="N37" s="2">
        <f t="shared" si="2"/>
        <v>0</v>
      </c>
      <c r="O37" s="42"/>
      <c r="P37" s="43"/>
      <c r="Q37" s="2">
        <f t="shared" si="3"/>
        <v>0</v>
      </c>
      <c r="R37" s="42"/>
      <c r="S37" s="43"/>
      <c r="T37" s="2">
        <f t="shared" si="4"/>
        <v>0</v>
      </c>
      <c r="U37" s="42"/>
      <c r="V37" s="43"/>
      <c r="W37" s="2">
        <f t="shared" si="5"/>
        <v>0</v>
      </c>
      <c r="X37" s="42"/>
      <c r="Y37" s="43"/>
      <c r="Z37" s="2">
        <f t="shared" si="6"/>
        <v>0</v>
      </c>
      <c r="AA37" s="42"/>
      <c r="AB37" s="43"/>
      <c r="AC37" s="2">
        <f t="shared" si="7"/>
        <v>0</v>
      </c>
      <c r="AD37" s="42"/>
      <c r="AE37" s="43"/>
      <c r="AF37" s="2">
        <f t="shared" si="8"/>
        <v>0</v>
      </c>
      <c r="AG37" s="42"/>
      <c r="AH37" s="43"/>
      <c r="AI37" s="2">
        <f t="shared" si="9"/>
        <v>0</v>
      </c>
      <c r="AJ37" s="97" t="str" cm="1">
        <f t="array" ref="AJ37">GETMENORVALOR(H37,K37,N37,Q37,T37,W37,Z37,AC37,AF37,AI37)</f>
        <v/>
      </c>
      <c r="AK37" s="98"/>
    </row>
    <row r="38" spans="1:37" hidden="1" x14ac:dyDescent="0.25">
      <c r="A38" s="10" t="str">
        <f t="shared" si="10"/>
        <v/>
      </c>
      <c r="B38" s="50"/>
      <c r="C38" s="39"/>
      <c r="D38" s="40"/>
      <c r="E38" s="41"/>
      <c r="F38" s="42"/>
      <c r="G38" s="43"/>
      <c r="H38" s="2">
        <f t="shared" si="0"/>
        <v>0</v>
      </c>
      <c r="I38" s="42"/>
      <c r="J38" s="43"/>
      <c r="K38" s="2">
        <f t="shared" si="1"/>
        <v>0</v>
      </c>
      <c r="L38" s="42"/>
      <c r="M38" s="43"/>
      <c r="N38" s="2">
        <f t="shared" si="2"/>
        <v>0</v>
      </c>
      <c r="O38" s="42"/>
      <c r="P38" s="43"/>
      <c r="Q38" s="2">
        <f t="shared" si="3"/>
        <v>0</v>
      </c>
      <c r="R38" s="42"/>
      <c r="S38" s="43"/>
      <c r="T38" s="2">
        <f t="shared" si="4"/>
        <v>0</v>
      </c>
      <c r="U38" s="42"/>
      <c r="V38" s="43"/>
      <c r="W38" s="2">
        <f t="shared" si="5"/>
        <v>0</v>
      </c>
      <c r="X38" s="42"/>
      <c r="Y38" s="43"/>
      <c r="Z38" s="2">
        <f t="shared" si="6"/>
        <v>0</v>
      </c>
      <c r="AA38" s="42"/>
      <c r="AB38" s="43"/>
      <c r="AC38" s="2">
        <f t="shared" si="7"/>
        <v>0</v>
      </c>
      <c r="AD38" s="42"/>
      <c r="AE38" s="43"/>
      <c r="AF38" s="2">
        <f t="shared" si="8"/>
        <v>0</v>
      </c>
      <c r="AG38" s="42"/>
      <c r="AH38" s="43"/>
      <c r="AI38" s="2">
        <f t="shared" si="9"/>
        <v>0</v>
      </c>
      <c r="AJ38" s="97" t="str" cm="1">
        <f t="array" ref="AJ38">GETMENORVALOR(H38,K38,N38,Q38,T38,W38,Z38,AC38,AF38,AI38)</f>
        <v/>
      </c>
      <c r="AK38" s="98"/>
    </row>
    <row r="39" spans="1:37" hidden="1" x14ac:dyDescent="0.25">
      <c r="A39" s="10" t="str">
        <f t="shared" si="10"/>
        <v/>
      </c>
      <c r="B39" s="50"/>
      <c r="C39" s="39"/>
      <c r="D39" s="40"/>
      <c r="E39" s="41"/>
      <c r="F39" s="42"/>
      <c r="G39" s="43"/>
      <c r="H39" s="2">
        <f t="shared" si="0"/>
        <v>0</v>
      </c>
      <c r="I39" s="42"/>
      <c r="J39" s="43"/>
      <c r="K39" s="2">
        <f t="shared" si="1"/>
        <v>0</v>
      </c>
      <c r="L39" s="42"/>
      <c r="M39" s="43"/>
      <c r="N39" s="2">
        <f t="shared" si="2"/>
        <v>0</v>
      </c>
      <c r="O39" s="42"/>
      <c r="P39" s="43"/>
      <c r="Q39" s="2">
        <f t="shared" si="3"/>
        <v>0</v>
      </c>
      <c r="R39" s="42"/>
      <c r="S39" s="43"/>
      <c r="T39" s="2">
        <f t="shared" si="4"/>
        <v>0</v>
      </c>
      <c r="U39" s="42"/>
      <c r="V39" s="43"/>
      <c r="W39" s="2">
        <f t="shared" si="5"/>
        <v>0</v>
      </c>
      <c r="X39" s="42"/>
      <c r="Y39" s="43"/>
      <c r="Z39" s="2">
        <f t="shared" si="6"/>
        <v>0</v>
      </c>
      <c r="AA39" s="42"/>
      <c r="AB39" s="43"/>
      <c r="AC39" s="2">
        <f t="shared" si="7"/>
        <v>0</v>
      </c>
      <c r="AD39" s="42"/>
      <c r="AE39" s="43"/>
      <c r="AF39" s="2">
        <f t="shared" si="8"/>
        <v>0</v>
      </c>
      <c r="AG39" s="42"/>
      <c r="AH39" s="43"/>
      <c r="AI39" s="2">
        <f t="shared" si="9"/>
        <v>0</v>
      </c>
      <c r="AJ39" s="97" t="str" cm="1">
        <f t="array" ref="AJ39">GETMENORVALOR(H39,K39,N39,Q39,T39,W39,Z39,AC39,AF39,AI39)</f>
        <v/>
      </c>
      <c r="AK39" s="98"/>
    </row>
    <row r="40" spans="1:37" hidden="1" x14ac:dyDescent="0.25">
      <c r="A40" s="10" t="str">
        <f t="shared" si="10"/>
        <v/>
      </c>
      <c r="B40" s="50"/>
      <c r="C40" s="39"/>
      <c r="D40" s="40"/>
      <c r="E40" s="41"/>
      <c r="F40" s="42"/>
      <c r="G40" s="43"/>
      <c r="H40" s="2">
        <f t="shared" si="0"/>
        <v>0</v>
      </c>
      <c r="I40" s="42"/>
      <c r="J40" s="43"/>
      <c r="K40" s="2">
        <f t="shared" si="1"/>
        <v>0</v>
      </c>
      <c r="L40" s="42"/>
      <c r="M40" s="43"/>
      <c r="N40" s="2">
        <f t="shared" si="2"/>
        <v>0</v>
      </c>
      <c r="O40" s="42"/>
      <c r="P40" s="43"/>
      <c r="Q40" s="2">
        <f t="shared" si="3"/>
        <v>0</v>
      </c>
      <c r="R40" s="42"/>
      <c r="S40" s="43"/>
      <c r="T40" s="2">
        <f t="shared" si="4"/>
        <v>0</v>
      </c>
      <c r="U40" s="42"/>
      <c r="V40" s="43"/>
      <c r="W40" s="2">
        <f t="shared" si="5"/>
        <v>0</v>
      </c>
      <c r="X40" s="42"/>
      <c r="Y40" s="43"/>
      <c r="Z40" s="2">
        <f t="shared" si="6"/>
        <v>0</v>
      </c>
      <c r="AA40" s="42"/>
      <c r="AB40" s="43"/>
      <c r="AC40" s="2">
        <f t="shared" si="7"/>
        <v>0</v>
      </c>
      <c r="AD40" s="42"/>
      <c r="AE40" s="43"/>
      <c r="AF40" s="2">
        <f t="shared" si="8"/>
        <v>0</v>
      </c>
      <c r="AG40" s="42"/>
      <c r="AH40" s="43"/>
      <c r="AI40" s="2">
        <f t="shared" si="9"/>
        <v>0</v>
      </c>
      <c r="AJ40" s="97" t="str" cm="1">
        <f t="array" ref="AJ40">GETMENORVALOR(H40,K40,N40,Q40,T40,W40,Z40,AC40,AF40,AI40)</f>
        <v/>
      </c>
      <c r="AK40" s="98"/>
    </row>
    <row r="41" spans="1:37" hidden="1" x14ac:dyDescent="0.25">
      <c r="A41" s="10" t="str">
        <f t="shared" si="10"/>
        <v/>
      </c>
      <c r="B41" s="50"/>
      <c r="C41" s="39"/>
      <c r="D41" s="40"/>
      <c r="E41" s="41"/>
      <c r="F41" s="42"/>
      <c r="G41" s="43"/>
      <c r="H41" s="2">
        <f t="shared" si="0"/>
        <v>0</v>
      </c>
      <c r="I41" s="42"/>
      <c r="J41" s="43"/>
      <c r="K41" s="2">
        <f t="shared" si="1"/>
        <v>0</v>
      </c>
      <c r="L41" s="42"/>
      <c r="M41" s="43"/>
      <c r="N41" s="2">
        <f t="shared" si="2"/>
        <v>0</v>
      </c>
      <c r="O41" s="42"/>
      <c r="P41" s="43"/>
      <c r="Q41" s="2">
        <f t="shared" si="3"/>
        <v>0</v>
      </c>
      <c r="R41" s="42"/>
      <c r="S41" s="43"/>
      <c r="T41" s="2">
        <f t="shared" si="4"/>
        <v>0</v>
      </c>
      <c r="U41" s="42"/>
      <c r="V41" s="43"/>
      <c r="W41" s="2">
        <f t="shared" si="5"/>
        <v>0</v>
      </c>
      <c r="X41" s="42"/>
      <c r="Y41" s="43"/>
      <c r="Z41" s="2">
        <f t="shared" si="6"/>
        <v>0</v>
      </c>
      <c r="AA41" s="42"/>
      <c r="AB41" s="43"/>
      <c r="AC41" s="2">
        <f t="shared" si="7"/>
        <v>0</v>
      </c>
      <c r="AD41" s="42"/>
      <c r="AE41" s="43"/>
      <c r="AF41" s="2">
        <f t="shared" si="8"/>
        <v>0</v>
      </c>
      <c r="AG41" s="42"/>
      <c r="AH41" s="43"/>
      <c r="AI41" s="2">
        <f t="shared" si="9"/>
        <v>0</v>
      </c>
      <c r="AJ41" s="97" t="str" cm="1">
        <f t="array" ref="AJ41">GETMENORVALOR(H41,K41,N41,Q41,T41,W41,Z41,AC41,AF41,AI41)</f>
        <v/>
      </c>
      <c r="AK41" s="98"/>
    </row>
    <row r="42" spans="1:37" hidden="1" x14ac:dyDescent="0.25">
      <c r="A42" s="10" t="str">
        <f t="shared" si="10"/>
        <v/>
      </c>
      <c r="B42" s="50"/>
      <c r="C42" s="39"/>
      <c r="D42" s="40"/>
      <c r="E42" s="41"/>
      <c r="F42" s="42"/>
      <c r="G42" s="43"/>
      <c r="H42" s="2">
        <f t="shared" si="0"/>
        <v>0</v>
      </c>
      <c r="I42" s="42"/>
      <c r="J42" s="43"/>
      <c r="K42" s="2">
        <f t="shared" si="1"/>
        <v>0</v>
      </c>
      <c r="L42" s="42"/>
      <c r="M42" s="43"/>
      <c r="N42" s="2">
        <f t="shared" si="2"/>
        <v>0</v>
      </c>
      <c r="O42" s="42"/>
      <c r="P42" s="43"/>
      <c r="Q42" s="2">
        <f t="shared" si="3"/>
        <v>0</v>
      </c>
      <c r="R42" s="42"/>
      <c r="S42" s="43"/>
      <c r="T42" s="2">
        <f t="shared" si="4"/>
        <v>0</v>
      </c>
      <c r="U42" s="42"/>
      <c r="V42" s="43"/>
      <c r="W42" s="2">
        <f t="shared" si="5"/>
        <v>0</v>
      </c>
      <c r="X42" s="42"/>
      <c r="Y42" s="43"/>
      <c r="Z42" s="2">
        <f t="shared" si="6"/>
        <v>0</v>
      </c>
      <c r="AA42" s="42"/>
      <c r="AB42" s="43"/>
      <c r="AC42" s="2">
        <f t="shared" si="7"/>
        <v>0</v>
      </c>
      <c r="AD42" s="42"/>
      <c r="AE42" s="43"/>
      <c r="AF42" s="2">
        <f t="shared" si="8"/>
        <v>0</v>
      </c>
      <c r="AG42" s="42"/>
      <c r="AH42" s="43"/>
      <c r="AI42" s="2">
        <f t="shared" si="9"/>
        <v>0</v>
      </c>
      <c r="AJ42" s="97" t="str" cm="1">
        <f t="array" ref="AJ42">GETMENORVALOR(H42,K42,N42,Q42,T42,W42,Z42,AC42,AF42,AI42)</f>
        <v/>
      </c>
      <c r="AK42" s="98"/>
    </row>
    <row r="43" spans="1:37" hidden="1" x14ac:dyDescent="0.25">
      <c r="A43" s="10" t="str">
        <f t="shared" si="10"/>
        <v/>
      </c>
      <c r="B43" s="50"/>
      <c r="C43" s="39"/>
      <c r="D43" s="40"/>
      <c r="E43" s="41"/>
      <c r="F43" s="42"/>
      <c r="G43" s="43"/>
      <c r="H43" s="2">
        <f t="shared" si="0"/>
        <v>0</v>
      </c>
      <c r="I43" s="42"/>
      <c r="J43" s="43"/>
      <c r="K43" s="2">
        <f t="shared" si="1"/>
        <v>0</v>
      </c>
      <c r="L43" s="42"/>
      <c r="M43" s="43"/>
      <c r="N43" s="2">
        <f t="shared" si="2"/>
        <v>0</v>
      </c>
      <c r="O43" s="42"/>
      <c r="P43" s="43"/>
      <c r="Q43" s="2">
        <f t="shared" si="3"/>
        <v>0</v>
      </c>
      <c r="R43" s="42"/>
      <c r="S43" s="43"/>
      <c r="T43" s="2">
        <f t="shared" si="4"/>
        <v>0</v>
      </c>
      <c r="U43" s="42"/>
      <c r="V43" s="43"/>
      <c r="W43" s="2">
        <f t="shared" si="5"/>
        <v>0</v>
      </c>
      <c r="X43" s="42"/>
      <c r="Y43" s="43"/>
      <c r="Z43" s="2">
        <f t="shared" si="6"/>
        <v>0</v>
      </c>
      <c r="AA43" s="42"/>
      <c r="AB43" s="43"/>
      <c r="AC43" s="2">
        <f t="shared" si="7"/>
        <v>0</v>
      </c>
      <c r="AD43" s="42"/>
      <c r="AE43" s="43"/>
      <c r="AF43" s="2">
        <f t="shared" si="8"/>
        <v>0</v>
      </c>
      <c r="AG43" s="42"/>
      <c r="AH43" s="43"/>
      <c r="AI43" s="2">
        <f t="shared" si="9"/>
        <v>0</v>
      </c>
      <c r="AJ43" s="97" t="str" cm="1">
        <f t="array" ref="AJ43">GETMENORVALOR(H43,K43,N43,Q43,T43,W43,Z43,AC43,AF43,AI43)</f>
        <v/>
      </c>
      <c r="AK43" s="98"/>
    </row>
    <row r="44" spans="1:37" hidden="1" x14ac:dyDescent="0.25">
      <c r="A44" s="10" t="str">
        <f t="shared" si="10"/>
        <v/>
      </c>
      <c r="B44" s="50"/>
      <c r="C44" s="39"/>
      <c r="D44" s="40"/>
      <c r="E44" s="41"/>
      <c r="F44" s="42"/>
      <c r="G44" s="43"/>
      <c r="H44" s="2">
        <f t="shared" si="0"/>
        <v>0</v>
      </c>
      <c r="I44" s="42"/>
      <c r="J44" s="43"/>
      <c r="K44" s="2">
        <f t="shared" si="1"/>
        <v>0</v>
      </c>
      <c r="L44" s="42"/>
      <c r="M44" s="43"/>
      <c r="N44" s="2">
        <f t="shared" si="2"/>
        <v>0</v>
      </c>
      <c r="O44" s="42"/>
      <c r="P44" s="43"/>
      <c r="Q44" s="2">
        <f t="shared" si="3"/>
        <v>0</v>
      </c>
      <c r="R44" s="42"/>
      <c r="S44" s="43"/>
      <c r="T44" s="2">
        <f t="shared" si="4"/>
        <v>0</v>
      </c>
      <c r="U44" s="42"/>
      <c r="V44" s="43"/>
      <c r="W44" s="2">
        <f t="shared" si="5"/>
        <v>0</v>
      </c>
      <c r="X44" s="42"/>
      <c r="Y44" s="43"/>
      <c r="Z44" s="2">
        <f t="shared" si="6"/>
        <v>0</v>
      </c>
      <c r="AA44" s="42"/>
      <c r="AB44" s="43"/>
      <c r="AC44" s="2">
        <f t="shared" si="7"/>
        <v>0</v>
      </c>
      <c r="AD44" s="42"/>
      <c r="AE44" s="43"/>
      <c r="AF44" s="2">
        <f t="shared" si="8"/>
        <v>0</v>
      </c>
      <c r="AG44" s="42"/>
      <c r="AH44" s="43"/>
      <c r="AI44" s="2">
        <f t="shared" si="9"/>
        <v>0</v>
      </c>
      <c r="AJ44" s="97" t="str" cm="1">
        <f t="array" ref="AJ44">GETMENORVALOR(H44,K44,N44,Q44,T44,W44,Z44,AC44,AF44,AI44)</f>
        <v/>
      </c>
      <c r="AK44" s="98"/>
    </row>
    <row r="45" spans="1:37" hidden="1" x14ac:dyDescent="0.25">
      <c r="A45" s="10" t="str">
        <f t="shared" si="10"/>
        <v/>
      </c>
      <c r="B45" s="50"/>
      <c r="C45" s="39"/>
      <c r="D45" s="40"/>
      <c r="E45" s="41"/>
      <c r="F45" s="42"/>
      <c r="G45" s="43"/>
      <c r="H45" s="2">
        <f t="shared" si="0"/>
        <v>0</v>
      </c>
      <c r="I45" s="42"/>
      <c r="J45" s="43"/>
      <c r="K45" s="2">
        <f t="shared" si="1"/>
        <v>0</v>
      </c>
      <c r="L45" s="42"/>
      <c r="M45" s="43"/>
      <c r="N45" s="2">
        <f t="shared" si="2"/>
        <v>0</v>
      </c>
      <c r="O45" s="42"/>
      <c r="P45" s="43"/>
      <c r="Q45" s="2">
        <f t="shared" si="3"/>
        <v>0</v>
      </c>
      <c r="R45" s="42"/>
      <c r="S45" s="43"/>
      <c r="T45" s="2">
        <f t="shared" si="4"/>
        <v>0</v>
      </c>
      <c r="U45" s="42"/>
      <c r="V45" s="43"/>
      <c r="W45" s="2">
        <f t="shared" si="5"/>
        <v>0</v>
      </c>
      <c r="X45" s="42"/>
      <c r="Y45" s="43"/>
      <c r="Z45" s="2">
        <f t="shared" si="6"/>
        <v>0</v>
      </c>
      <c r="AA45" s="42"/>
      <c r="AB45" s="43"/>
      <c r="AC45" s="2">
        <f t="shared" si="7"/>
        <v>0</v>
      </c>
      <c r="AD45" s="42"/>
      <c r="AE45" s="43"/>
      <c r="AF45" s="2">
        <f t="shared" si="8"/>
        <v>0</v>
      </c>
      <c r="AG45" s="42"/>
      <c r="AH45" s="43"/>
      <c r="AI45" s="2">
        <f t="shared" si="9"/>
        <v>0</v>
      </c>
      <c r="AJ45" s="97" t="str" cm="1">
        <f t="array" ref="AJ45">GETMENORVALOR(H45,K45,N45,Q45,T45,W45,Z45,AC45,AF45,AI45)</f>
        <v/>
      </c>
      <c r="AK45" s="98"/>
    </row>
    <row r="46" spans="1:37" hidden="1" x14ac:dyDescent="0.25">
      <c r="A46" s="10" t="str">
        <f t="shared" si="10"/>
        <v/>
      </c>
      <c r="B46" s="50"/>
      <c r="C46" s="39"/>
      <c r="D46" s="40"/>
      <c r="E46" s="41"/>
      <c r="F46" s="42"/>
      <c r="G46" s="43"/>
      <c r="H46" s="2">
        <f t="shared" si="0"/>
        <v>0</v>
      </c>
      <c r="I46" s="42"/>
      <c r="J46" s="43"/>
      <c r="K46" s="2">
        <f t="shared" si="1"/>
        <v>0</v>
      </c>
      <c r="L46" s="42"/>
      <c r="M46" s="43"/>
      <c r="N46" s="2">
        <f t="shared" si="2"/>
        <v>0</v>
      </c>
      <c r="O46" s="42"/>
      <c r="P46" s="43"/>
      <c r="Q46" s="2">
        <f t="shared" si="3"/>
        <v>0</v>
      </c>
      <c r="R46" s="42"/>
      <c r="S46" s="43"/>
      <c r="T46" s="2">
        <f t="shared" si="4"/>
        <v>0</v>
      </c>
      <c r="U46" s="42"/>
      <c r="V46" s="43"/>
      <c r="W46" s="2">
        <f t="shared" si="5"/>
        <v>0</v>
      </c>
      <c r="X46" s="42"/>
      <c r="Y46" s="43"/>
      <c r="Z46" s="2">
        <f t="shared" si="6"/>
        <v>0</v>
      </c>
      <c r="AA46" s="42"/>
      <c r="AB46" s="43"/>
      <c r="AC46" s="2">
        <f t="shared" si="7"/>
        <v>0</v>
      </c>
      <c r="AD46" s="42"/>
      <c r="AE46" s="43"/>
      <c r="AF46" s="2">
        <f t="shared" si="8"/>
        <v>0</v>
      </c>
      <c r="AG46" s="42"/>
      <c r="AH46" s="43"/>
      <c r="AI46" s="2">
        <f t="shared" si="9"/>
        <v>0</v>
      </c>
      <c r="AJ46" s="97" t="str" cm="1">
        <f t="array" ref="AJ46">GETMENORVALOR(H46,K46,N46,Q46,T46,W46,Z46,AC46,AF46,AI46)</f>
        <v/>
      </c>
      <c r="AK46" s="98"/>
    </row>
    <row r="47" spans="1:37" hidden="1" x14ac:dyDescent="0.25">
      <c r="A47" s="10" t="str">
        <f t="shared" si="10"/>
        <v/>
      </c>
      <c r="B47" s="50"/>
      <c r="C47" s="39"/>
      <c r="D47" s="40"/>
      <c r="E47" s="41"/>
      <c r="F47" s="42"/>
      <c r="G47" s="43"/>
      <c r="H47" s="2">
        <f t="shared" si="0"/>
        <v>0</v>
      </c>
      <c r="I47" s="42"/>
      <c r="J47" s="43"/>
      <c r="K47" s="2">
        <f t="shared" si="1"/>
        <v>0</v>
      </c>
      <c r="L47" s="42"/>
      <c r="M47" s="43"/>
      <c r="N47" s="2">
        <f t="shared" si="2"/>
        <v>0</v>
      </c>
      <c r="O47" s="42"/>
      <c r="P47" s="43"/>
      <c r="Q47" s="2">
        <f t="shared" si="3"/>
        <v>0</v>
      </c>
      <c r="R47" s="42"/>
      <c r="S47" s="43"/>
      <c r="T47" s="2">
        <f t="shared" si="4"/>
        <v>0</v>
      </c>
      <c r="U47" s="42"/>
      <c r="V47" s="43"/>
      <c r="W47" s="2">
        <f t="shared" si="5"/>
        <v>0</v>
      </c>
      <c r="X47" s="42"/>
      <c r="Y47" s="43"/>
      <c r="Z47" s="2">
        <f t="shared" si="6"/>
        <v>0</v>
      </c>
      <c r="AA47" s="42"/>
      <c r="AB47" s="43"/>
      <c r="AC47" s="2">
        <f t="shared" si="7"/>
        <v>0</v>
      </c>
      <c r="AD47" s="42"/>
      <c r="AE47" s="43"/>
      <c r="AF47" s="2">
        <f t="shared" si="8"/>
        <v>0</v>
      </c>
      <c r="AG47" s="42"/>
      <c r="AH47" s="43"/>
      <c r="AI47" s="2">
        <f t="shared" si="9"/>
        <v>0</v>
      </c>
      <c r="AJ47" s="97" t="str" cm="1">
        <f t="array" ref="AJ47">GETMENORVALOR(H47,K47,N47,Q47,T47,W47,Z47,AC47,AF47,AI47)</f>
        <v/>
      </c>
      <c r="AK47" s="98"/>
    </row>
    <row r="48" spans="1:37" hidden="1" x14ac:dyDescent="0.25">
      <c r="A48" s="10" t="str">
        <f t="shared" si="10"/>
        <v/>
      </c>
      <c r="B48" s="50"/>
      <c r="C48" s="39"/>
      <c r="D48" s="40"/>
      <c r="E48" s="41"/>
      <c r="F48" s="42"/>
      <c r="G48" s="43"/>
      <c r="H48" s="2">
        <f t="shared" si="0"/>
        <v>0</v>
      </c>
      <c r="I48" s="42"/>
      <c r="J48" s="43"/>
      <c r="K48" s="2">
        <f t="shared" si="1"/>
        <v>0</v>
      </c>
      <c r="L48" s="42"/>
      <c r="M48" s="43"/>
      <c r="N48" s="2">
        <f t="shared" si="2"/>
        <v>0</v>
      </c>
      <c r="O48" s="42"/>
      <c r="P48" s="43"/>
      <c r="Q48" s="2">
        <f t="shared" si="3"/>
        <v>0</v>
      </c>
      <c r="R48" s="42"/>
      <c r="S48" s="43"/>
      <c r="T48" s="2">
        <f t="shared" si="4"/>
        <v>0</v>
      </c>
      <c r="U48" s="42"/>
      <c r="V48" s="43"/>
      <c r="W48" s="2">
        <f t="shared" si="5"/>
        <v>0</v>
      </c>
      <c r="X48" s="42"/>
      <c r="Y48" s="43"/>
      <c r="Z48" s="2">
        <f t="shared" si="6"/>
        <v>0</v>
      </c>
      <c r="AA48" s="42"/>
      <c r="AB48" s="43"/>
      <c r="AC48" s="2">
        <f t="shared" si="7"/>
        <v>0</v>
      </c>
      <c r="AD48" s="42"/>
      <c r="AE48" s="43"/>
      <c r="AF48" s="2">
        <f t="shared" si="8"/>
        <v>0</v>
      </c>
      <c r="AG48" s="42"/>
      <c r="AH48" s="43"/>
      <c r="AI48" s="2">
        <f t="shared" si="9"/>
        <v>0</v>
      </c>
      <c r="AJ48" s="97" t="str" cm="1">
        <f t="array" ref="AJ48">GETMENORVALOR(H48,K48,N48,Q48,T48,W48,Z48,AC48,AF48,AI48)</f>
        <v/>
      </c>
      <c r="AK48" s="98"/>
    </row>
    <row r="49" spans="1:37" hidden="1" x14ac:dyDescent="0.25">
      <c r="A49" s="10" t="str">
        <f t="shared" si="10"/>
        <v/>
      </c>
      <c r="B49" s="50"/>
      <c r="C49" s="39"/>
      <c r="D49" s="40"/>
      <c r="E49" s="41"/>
      <c r="F49" s="42"/>
      <c r="G49" s="43"/>
      <c r="H49" s="2">
        <f t="shared" si="0"/>
        <v>0</v>
      </c>
      <c r="I49" s="42"/>
      <c r="J49" s="43"/>
      <c r="K49" s="2">
        <f t="shared" si="1"/>
        <v>0</v>
      </c>
      <c r="L49" s="42"/>
      <c r="M49" s="43"/>
      <c r="N49" s="2">
        <f t="shared" si="2"/>
        <v>0</v>
      </c>
      <c r="O49" s="42"/>
      <c r="P49" s="43"/>
      <c r="Q49" s="2">
        <f t="shared" si="3"/>
        <v>0</v>
      </c>
      <c r="R49" s="42"/>
      <c r="S49" s="43"/>
      <c r="T49" s="2">
        <f t="shared" si="4"/>
        <v>0</v>
      </c>
      <c r="U49" s="42"/>
      <c r="V49" s="43"/>
      <c r="W49" s="2">
        <f t="shared" si="5"/>
        <v>0</v>
      </c>
      <c r="X49" s="42"/>
      <c r="Y49" s="43"/>
      <c r="Z49" s="2">
        <f t="shared" si="6"/>
        <v>0</v>
      </c>
      <c r="AA49" s="42"/>
      <c r="AB49" s="43"/>
      <c r="AC49" s="2">
        <f t="shared" si="7"/>
        <v>0</v>
      </c>
      <c r="AD49" s="42"/>
      <c r="AE49" s="43"/>
      <c r="AF49" s="2">
        <f t="shared" si="8"/>
        <v>0</v>
      </c>
      <c r="AG49" s="42"/>
      <c r="AH49" s="43"/>
      <c r="AI49" s="2">
        <f t="shared" si="9"/>
        <v>0</v>
      </c>
      <c r="AJ49" s="97" t="str" cm="1">
        <f t="array" ref="AJ49">GETMENORVALOR(H49,K49,N49,Q49,T49,W49,Z49,AC49,AF49,AI49)</f>
        <v/>
      </c>
      <c r="AK49" s="98"/>
    </row>
    <row r="50" spans="1:37" hidden="1" x14ac:dyDescent="0.25">
      <c r="A50" s="10" t="str">
        <f t="shared" si="10"/>
        <v/>
      </c>
      <c r="B50" s="50"/>
      <c r="C50" s="39"/>
      <c r="D50" s="40"/>
      <c r="E50" s="41"/>
      <c r="F50" s="42"/>
      <c r="G50" s="43"/>
      <c r="H50" s="2">
        <f t="shared" ref="H50:H81" si="11">IF($A50&lt;&gt;"", F50 * $D50 * (1 - G50), 0)</f>
        <v>0</v>
      </c>
      <c r="I50" s="42"/>
      <c r="J50" s="43"/>
      <c r="K50" s="2">
        <f t="shared" ref="K50:K81" si="12">IF($A50&lt;&gt;"", I50 * $D50 * (1 - J50), 0)</f>
        <v>0</v>
      </c>
      <c r="L50" s="42"/>
      <c r="M50" s="43"/>
      <c r="N50" s="2">
        <f t="shared" ref="N50:N81" si="13">IF($A50&lt;&gt;"", L50 * $D50 * (1 - M50), 0)</f>
        <v>0</v>
      </c>
      <c r="O50" s="42"/>
      <c r="P50" s="43"/>
      <c r="Q50" s="2">
        <f t="shared" ref="Q50:Q81" si="14">IF($A50&lt;&gt;"", O50 * $D50 * (1 - P50), 0)</f>
        <v>0</v>
      </c>
      <c r="R50" s="42"/>
      <c r="S50" s="43"/>
      <c r="T50" s="2">
        <f t="shared" ref="T50:T81" si="15">IF($A50&lt;&gt;"", R50 * $D50 * (1 - S50), 0)</f>
        <v>0</v>
      </c>
      <c r="U50" s="42"/>
      <c r="V50" s="43"/>
      <c r="W50" s="2">
        <f t="shared" ref="W50:W81" si="16">IF($A50&lt;&gt;"", U50 * $D50 * (1 - V50), 0)</f>
        <v>0</v>
      </c>
      <c r="X50" s="42"/>
      <c r="Y50" s="43"/>
      <c r="Z50" s="2">
        <f t="shared" ref="Z50:Z81" si="17">IF($A50&lt;&gt;"", X50 * $D50 * (1 - Y50), 0)</f>
        <v>0</v>
      </c>
      <c r="AA50" s="42"/>
      <c r="AB50" s="43"/>
      <c r="AC50" s="2">
        <f t="shared" ref="AC50:AC81" si="18">IF($A50&lt;&gt;"", AA50 * $D50 * (1 - AB50), 0)</f>
        <v>0</v>
      </c>
      <c r="AD50" s="42"/>
      <c r="AE50" s="43"/>
      <c r="AF50" s="2">
        <f t="shared" ref="AF50:AF81" si="19">IF($A50&lt;&gt;"", AD50 * $D50 * (1 - AE50), 0)</f>
        <v>0</v>
      </c>
      <c r="AG50" s="42"/>
      <c r="AH50" s="43"/>
      <c r="AI50" s="2">
        <f t="shared" ref="AI50:AI81" si="20">IF($A50&lt;&gt;"", AG50 * $D50 * (1 - AH50), 0)</f>
        <v>0</v>
      </c>
      <c r="AJ50" s="97" t="str" cm="1">
        <f t="array" ref="AJ50">GETMENORVALOR(H50,K50,N50,Q50,T50,W50,Z50,AC50,AF50,AI50)</f>
        <v/>
      </c>
      <c r="AK50" s="98"/>
    </row>
    <row r="51" spans="1:37" hidden="1" x14ac:dyDescent="0.25">
      <c r="A51" s="10" t="str">
        <f t="shared" si="10"/>
        <v/>
      </c>
      <c r="B51" s="50"/>
      <c r="C51" s="39"/>
      <c r="D51" s="40"/>
      <c r="E51" s="41"/>
      <c r="F51" s="42"/>
      <c r="G51" s="43"/>
      <c r="H51" s="2">
        <f t="shared" si="11"/>
        <v>0</v>
      </c>
      <c r="I51" s="42"/>
      <c r="J51" s="43"/>
      <c r="K51" s="2">
        <f t="shared" si="12"/>
        <v>0</v>
      </c>
      <c r="L51" s="42"/>
      <c r="M51" s="43"/>
      <c r="N51" s="2">
        <f t="shared" si="13"/>
        <v>0</v>
      </c>
      <c r="O51" s="42"/>
      <c r="P51" s="43"/>
      <c r="Q51" s="2">
        <f t="shared" si="14"/>
        <v>0</v>
      </c>
      <c r="R51" s="42"/>
      <c r="S51" s="43"/>
      <c r="T51" s="2">
        <f t="shared" si="15"/>
        <v>0</v>
      </c>
      <c r="U51" s="42"/>
      <c r="V51" s="43"/>
      <c r="W51" s="2">
        <f t="shared" si="16"/>
        <v>0</v>
      </c>
      <c r="X51" s="42"/>
      <c r="Y51" s="43"/>
      <c r="Z51" s="2">
        <f t="shared" si="17"/>
        <v>0</v>
      </c>
      <c r="AA51" s="42"/>
      <c r="AB51" s="43"/>
      <c r="AC51" s="2">
        <f t="shared" si="18"/>
        <v>0</v>
      </c>
      <c r="AD51" s="42"/>
      <c r="AE51" s="43"/>
      <c r="AF51" s="2">
        <f t="shared" si="19"/>
        <v>0</v>
      </c>
      <c r="AG51" s="42"/>
      <c r="AH51" s="43"/>
      <c r="AI51" s="2">
        <f t="shared" si="20"/>
        <v>0</v>
      </c>
      <c r="AJ51" s="97" t="str" cm="1">
        <f t="array" ref="AJ51">GETMENORVALOR(H51,K51,N51,Q51,T51,W51,Z51,AC51,AF51,AI51)</f>
        <v/>
      </c>
      <c r="AK51" s="98"/>
    </row>
    <row r="52" spans="1:37" hidden="1" x14ac:dyDescent="0.25">
      <c r="A52" s="10" t="str">
        <f t="shared" si="10"/>
        <v/>
      </c>
      <c r="B52" s="50"/>
      <c r="C52" s="39"/>
      <c r="D52" s="40"/>
      <c r="E52" s="41"/>
      <c r="F52" s="42"/>
      <c r="G52" s="43"/>
      <c r="H52" s="2">
        <f t="shared" si="11"/>
        <v>0</v>
      </c>
      <c r="I52" s="42"/>
      <c r="J52" s="43"/>
      <c r="K52" s="2">
        <f t="shared" si="12"/>
        <v>0</v>
      </c>
      <c r="L52" s="42"/>
      <c r="M52" s="43"/>
      <c r="N52" s="2">
        <f t="shared" si="13"/>
        <v>0</v>
      </c>
      <c r="O52" s="42"/>
      <c r="P52" s="43"/>
      <c r="Q52" s="2">
        <f t="shared" si="14"/>
        <v>0</v>
      </c>
      <c r="R52" s="42"/>
      <c r="S52" s="43"/>
      <c r="T52" s="2">
        <f t="shared" si="15"/>
        <v>0</v>
      </c>
      <c r="U52" s="42"/>
      <c r="V52" s="43"/>
      <c r="W52" s="2">
        <f t="shared" si="16"/>
        <v>0</v>
      </c>
      <c r="X52" s="42"/>
      <c r="Y52" s="43"/>
      <c r="Z52" s="2">
        <f t="shared" si="17"/>
        <v>0</v>
      </c>
      <c r="AA52" s="42"/>
      <c r="AB52" s="43"/>
      <c r="AC52" s="2">
        <f t="shared" si="18"/>
        <v>0</v>
      </c>
      <c r="AD52" s="42"/>
      <c r="AE52" s="43"/>
      <c r="AF52" s="2">
        <f t="shared" si="19"/>
        <v>0</v>
      </c>
      <c r="AG52" s="42"/>
      <c r="AH52" s="43"/>
      <c r="AI52" s="2">
        <f t="shared" si="20"/>
        <v>0</v>
      </c>
      <c r="AJ52" s="97" t="str" cm="1">
        <f t="array" ref="AJ52">GETMENORVALOR(H52,K52,N52,Q52,T52,W52,Z52,AC52,AF52,AI52)</f>
        <v/>
      </c>
      <c r="AK52" s="98"/>
    </row>
    <row r="53" spans="1:37" hidden="1" x14ac:dyDescent="0.25">
      <c r="A53" s="10" t="str">
        <f t="shared" si="10"/>
        <v/>
      </c>
      <c r="B53" s="50"/>
      <c r="C53" s="39"/>
      <c r="D53" s="40"/>
      <c r="E53" s="41"/>
      <c r="F53" s="42"/>
      <c r="G53" s="43"/>
      <c r="H53" s="2">
        <f t="shared" si="11"/>
        <v>0</v>
      </c>
      <c r="I53" s="42"/>
      <c r="J53" s="43"/>
      <c r="K53" s="2">
        <f t="shared" si="12"/>
        <v>0</v>
      </c>
      <c r="L53" s="42"/>
      <c r="M53" s="43"/>
      <c r="N53" s="2">
        <f t="shared" si="13"/>
        <v>0</v>
      </c>
      <c r="O53" s="42"/>
      <c r="P53" s="43"/>
      <c r="Q53" s="2">
        <f t="shared" si="14"/>
        <v>0</v>
      </c>
      <c r="R53" s="42"/>
      <c r="S53" s="43"/>
      <c r="T53" s="2">
        <f t="shared" si="15"/>
        <v>0</v>
      </c>
      <c r="U53" s="42"/>
      <c r="V53" s="43"/>
      <c r="W53" s="2">
        <f t="shared" si="16"/>
        <v>0</v>
      </c>
      <c r="X53" s="42"/>
      <c r="Y53" s="43"/>
      <c r="Z53" s="2">
        <f t="shared" si="17"/>
        <v>0</v>
      </c>
      <c r="AA53" s="42"/>
      <c r="AB53" s="43"/>
      <c r="AC53" s="2">
        <f t="shared" si="18"/>
        <v>0</v>
      </c>
      <c r="AD53" s="42"/>
      <c r="AE53" s="43"/>
      <c r="AF53" s="2">
        <f t="shared" si="19"/>
        <v>0</v>
      </c>
      <c r="AG53" s="42"/>
      <c r="AH53" s="43"/>
      <c r="AI53" s="2">
        <f t="shared" si="20"/>
        <v>0</v>
      </c>
      <c r="AJ53" s="97" t="str" cm="1">
        <f t="array" ref="AJ53">GETMENORVALOR(H53,K53,N53,Q53,T53,W53,Z53,AC53,AF53,AI53)</f>
        <v/>
      </c>
      <c r="AK53" s="98"/>
    </row>
    <row r="54" spans="1:37" hidden="1" x14ac:dyDescent="0.25">
      <c r="A54" s="10" t="str">
        <f t="shared" si="10"/>
        <v/>
      </c>
      <c r="B54" s="50"/>
      <c r="C54" s="39"/>
      <c r="D54" s="40"/>
      <c r="E54" s="41"/>
      <c r="F54" s="42"/>
      <c r="G54" s="43"/>
      <c r="H54" s="2">
        <f t="shared" si="11"/>
        <v>0</v>
      </c>
      <c r="I54" s="42"/>
      <c r="J54" s="43"/>
      <c r="K54" s="2">
        <f t="shared" si="12"/>
        <v>0</v>
      </c>
      <c r="L54" s="42"/>
      <c r="M54" s="43"/>
      <c r="N54" s="2">
        <f t="shared" si="13"/>
        <v>0</v>
      </c>
      <c r="O54" s="42"/>
      <c r="P54" s="43"/>
      <c r="Q54" s="2">
        <f t="shared" si="14"/>
        <v>0</v>
      </c>
      <c r="R54" s="42"/>
      <c r="S54" s="43"/>
      <c r="T54" s="2">
        <f t="shared" si="15"/>
        <v>0</v>
      </c>
      <c r="U54" s="42"/>
      <c r="V54" s="43"/>
      <c r="W54" s="2">
        <f t="shared" si="16"/>
        <v>0</v>
      </c>
      <c r="X54" s="42"/>
      <c r="Y54" s="43"/>
      <c r="Z54" s="2">
        <f t="shared" si="17"/>
        <v>0</v>
      </c>
      <c r="AA54" s="42"/>
      <c r="AB54" s="43"/>
      <c r="AC54" s="2">
        <f t="shared" si="18"/>
        <v>0</v>
      </c>
      <c r="AD54" s="42"/>
      <c r="AE54" s="43"/>
      <c r="AF54" s="2">
        <f t="shared" si="19"/>
        <v>0</v>
      </c>
      <c r="AG54" s="42"/>
      <c r="AH54" s="43"/>
      <c r="AI54" s="2">
        <f t="shared" si="20"/>
        <v>0</v>
      </c>
      <c r="AJ54" s="97" t="str" cm="1">
        <f t="array" ref="AJ54">GETMENORVALOR(H54,K54,N54,Q54,T54,W54,Z54,AC54,AF54,AI54)</f>
        <v/>
      </c>
      <c r="AK54" s="98"/>
    </row>
    <row r="55" spans="1:37" hidden="1" x14ac:dyDescent="0.25">
      <c r="A55" s="10" t="str">
        <f t="shared" si="10"/>
        <v/>
      </c>
      <c r="B55" s="50"/>
      <c r="C55" s="39"/>
      <c r="D55" s="40"/>
      <c r="E55" s="41"/>
      <c r="F55" s="42"/>
      <c r="G55" s="43"/>
      <c r="H55" s="2">
        <f t="shared" si="11"/>
        <v>0</v>
      </c>
      <c r="I55" s="42"/>
      <c r="J55" s="43"/>
      <c r="K55" s="2">
        <f t="shared" si="12"/>
        <v>0</v>
      </c>
      <c r="L55" s="42"/>
      <c r="M55" s="43"/>
      <c r="N55" s="2">
        <f t="shared" si="13"/>
        <v>0</v>
      </c>
      <c r="O55" s="42"/>
      <c r="P55" s="43"/>
      <c r="Q55" s="2">
        <f t="shared" si="14"/>
        <v>0</v>
      </c>
      <c r="R55" s="42"/>
      <c r="S55" s="43"/>
      <c r="T55" s="2">
        <f t="shared" si="15"/>
        <v>0</v>
      </c>
      <c r="U55" s="42"/>
      <c r="V55" s="43"/>
      <c r="W55" s="2">
        <f t="shared" si="16"/>
        <v>0</v>
      </c>
      <c r="X55" s="42"/>
      <c r="Y55" s="43"/>
      <c r="Z55" s="2">
        <f t="shared" si="17"/>
        <v>0</v>
      </c>
      <c r="AA55" s="42"/>
      <c r="AB55" s="43"/>
      <c r="AC55" s="2">
        <f t="shared" si="18"/>
        <v>0</v>
      </c>
      <c r="AD55" s="42"/>
      <c r="AE55" s="43"/>
      <c r="AF55" s="2">
        <f t="shared" si="19"/>
        <v>0</v>
      </c>
      <c r="AG55" s="42"/>
      <c r="AH55" s="43"/>
      <c r="AI55" s="2">
        <f t="shared" si="20"/>
        <v>0</v>
      </c>
      <c r="AJ55" s="97" t="str" cm="1">
        <f t="array" ref="AJ55">GETMENORVALOR(H55,K55,N55,Q55,T55,W55,Z55,AC55,AF55,AI55)</f>
        <v/>
      </c>
      <c r="AK55" s="98"/>
    </row>
    <row r="56" spans="1:37" hidden="1" x14ac:dyDescent="0.25">
      <c r="A56" s="10" t="str">
        <f t="shared" si="10"/>
        <v/>
      </c>
      <c r="B56" s="50"/>
      <c r="C56" s="39"/>
      <c r="D56" s="40"/>
      <c r="E56" s="41"/>
      <c r="F56" s="42"/>
      <c r="G56" s="43"/>
      <c r="H56" s="2">
        <f t="shared" si="11"/>
        <v>0</v>
      </c>
      <c r="I56" s="42"/>
      <c r="J56" s="43"/>
      <c r="K56" s="2">
        <f t="shared" si="12"/>
        <v>0</v>
      </c>
      <c r="L56" s="42"/>
      <c r="M56" s="43"/>
      <c r="N56" s="2">
        <f t="shared" si="13"/>
        <v>0</v>
      </c>
      <c r="O56" s="42"/>
      <c r="P56" s="43"/>
      <c r="Q56" s="2">
        <f t="shared" si="14"/>
        <v>0</v>
      </c>
      <c r="R56" s="42"/>
      <c r="S56" s="43"/>
      <c r="T56" s="2">
        <f t="shared" si="15"/>
        <v>0</v>
      </c>
      <c r="U56" s="42"/>
      <c r="V56" s="43"/>
      <c r="W56" s="2">
        <f t="shared" si="16"/>
        <v>0</v>
      </c>
      <c r="X56" s="42"/>
      <c r="Y56" s="43"/>
      <c r="Z56" s="2">
        <f t="shared" si="17"/>
        <v>0</v>
      </c>
      <c r="AA56" s="42"/>
      <c r="AB56" s="43"/>
      <c r="AC56" s="2">
        <f t="shared" si="18"/>
        <v>0</v>
      </c>
      <c r="AD56" s="42"/>
      <c r="AE56" s="43"/>
      <c r="AF56" s="2">
        <f t="shared" si="19"/>
        <v>0</v>
      </c>
      <c r="AG56" s="42"/>
      <c r="AH56" s="43"/>
      <c r="AI56" s="2">
        <f t="shared" si="20"/>
        <v>0</v>
      </c>
      <c r="AJ56" s="97" t="str" cm="1">
        <f t="array" ref="AJ56">GETMENORVALOR(H56,K56,N56,Q56,T56,W56,Z56,AC56,AF56,AI56)</f>
        <v/>
      </c>
      <c r="AK56" s="98"/>
    </row>
    <row r="57" spans="1:37" hidden="1" x14ac:dyDescent="0.25">
      <c r="A57" s="10" t="str">
        <f t="shared" si="10"/>
        <v/>
      </c>
      <c r="B57" s="50"/>
      <c r="C57" s="39"/>
      <c r="D57" s="40"/>
      <c r="E57" s="41"/>
      <c r="F57" s="42"/>
      <c r="G57" s="43"/>
      <c r="H57" s="2">
        <f t="shared" si="11"/>
        <v>0</v>
      </c>
      <c r="I57" s="42"/>
      <c r="J57" s="43"/>
      <c r="K57" s="2">
        <f t="shared" si="12"/>
        <v>0</v>
      </c>
      <c r="L57" s="42"/>
      <c r="M57" s="43"/>
      <c r="N57" s="2">
        <f t="shared" si="13"/>
        <v>0</v>
      </c>
      <c r="O57" s="42"/>
      <c r="P57" s="43"/>
      <c r="Q57" s="2">
        <f t="shared" si="14"/>
        <v>0</v>
      </c>
      <c r="R57" s="42"/>
      <c r="S57" s="43"/>
      <c r="T57" s="2">
        <f t="shared" si="15"/>
        <v>0</v>
      </c>
      <c r="U57" s="42"/>
      <c r="V57" s="43"/>
      <c r="W57" s="2">
        <f t="shared" si="16"/>
        <v>0</v>
      </c>
      <c r="X57" s="42"/>
      <c r="Y57" s="43"/>
      <c r="Z57" s="2">
        <f t="shared" si="17"/>
        <v>0</v>
      </c>
      <c r="AA57" s="42"/>
      <c r="AB57" s="43"/>
      <c r="AC57" s="2">
        <f t="shared" si="18"/>
        <v>0</v>
      </c>
      <c r="AD57" s="42"/>
      <c r="AE57" s="43"/>
      <c r="AF57" s="2">
        <f t="shared" si="19"/>
        <v>0</v>
      </c>
      <c r="AG57" s="42"/>
      <c r="AH57" s="43"/>
      <c r="AI57" s="2">
        <f t="shared" si="20"/>
        <v>0</v>
      </c>
      <c r="AJ57" s="97" t="str" cm="1">
        <f t="array" ref="AJ57">GETMENORVALOR(H57,K57,N57,Q57,T57,W57,Z57,AC57,AF57,AI57)</f>
        <v/>
      </c>
      <c r="AK57" s="98"/>
    </row>
    <row r="58" spans="1:37" hidden="1" x14ac:dyDescent="0.25">
      <c r="A58" s="10" t="str">
        <f t="shared" si="10"/>
        <v/>
      </c>
      <c r="B58" s="50"/>
      <c r="C58" s="39"/>
      <c r="D58" s="40"/>
      <c r="E58" s="41"/>
      <c r="F58" s="42"/>
      <c r="G58" s="43"/>
      <c r="H58" s="2">
        <f t="shared" si="11"/>
        <v>0</v>
      </c>
      <c r="I58" s="42"/>
      <c r="J58" s="43"/>
      <c r="K58" s="2">
        <f t="shared" si="12"/>
        <v>0</v>
      </c>
      <c r="L58" s="42"/>
      <c r="M58" s="43"/>
      <c r="N58" s="2">
        <f t="shared" si="13"/>
        <v>0</v>
      </c>
      <c r="O58" s="42"/>
      <c r="P58" s="43"/>
      <c r="Q58" s="2">
        <f t="shared" si="14"/>
        <v>0</v>
      </c>
      <c r="R58" s="42"/>
      <c r="S58" s="43"/>
      <c r="T58" s="2">
        <f t="shared" si="15"/>
        <v>0</v>
      </c>
      <c r="U58" s="42"/>
      <c r="V58" s="43"/>
      <c r="W58" s="2">
        <f t="shared" si="16"/>
        <v>0</v>
      </c>
      <c r="X58" s="42"/>
      <c r="Y58" s="43"/>
      <c r="Z58" s="2">
        <f t="shared" si="17"/>
        <v>0</v>
      </c>
      <c r="AA58" s="42"/>
      <c r="AB58" s="43"/>
      <c r="AC58" s="2">
        <f t="shared" si="18"/>
        <v>0</v>
      </c>
      <c r="AD58" s="42"/>
      <c r="AE58" s="43"/>
      <c r="AF58" s="2">
        <f t="shared" si="19"/>
        <v>0</v>
      </c>
      <c r="AG58" s="42"/>
      <c r="AH58" s="43"/>
      <c r="AI58" s="2">
        <f t="shared" si="20"/>
        <v>0</v>
      </c>
      <c r="AJ58" s="97" t="str" cm="1">
        <f t="array" ref="AJ58">GETMENORVALOR(H58,K58,N58,Q58,T58,W58,Z58,AC58,AF58,AI58)</f>
        <v/>
      </c>
      <c r="AK58" s="98"/>
    </row>
    <row r="59" spans="1:37" hidden="1" x14ac:dyDescent="0.25">
      <c r="A59" s="10" t="str">
        <f t="shared" si="10"/>
        <v/>
      </c>
      <c r="B59" s="50"/>
      <c r="C59" s="39"/>
      <c r="D59" s="40"/>
      <c r="E59" s="41"/>
      <c r="F59" s="42"/>
      <c r="G59" s="43"/>
      <c r="H59" s="2">
        <f t="shared" si="11"/>
        <v>0</v>
      </c>
      <c r="I59" s="42"/>
      <c r="J59" s="43"/>
      <c r="K59" s="2">
        <f t="shared" si="12"/>
        <v>0</v>
      </c>
      <c r="L59" s="42"/>
      <c r="M59" s="43"/>
      <c r="N59" s="2">
        <f t="shared" si="13"/>
        <v>0</v>
      </c>
      <c r="O59" s="42"/>
      <c r="P59" s="43"/>
      <c r="Q59" s="2">
        <f t="shared" si="14"/>
        <v>0</v>
      </c>
      <c r="R59" s="42"/>
      <c r="S59" s="43"/>
      <c r="T59" s="2">
        <f t="shared" si="15"/>
        <v>0</v>
      </c>
      <c r="U59" s="42"/>
      <c r="V59" s="43"/>
      <c r="W59" s="2">
        <f t="shared" si="16"/>
        <v>0</v>
      </c>
      <c r="X59" s="42"/>
      <c r="Y59" s="43"/>
      <c r="Z59" s="2">
        <f t="shared" si="17"/>
        <v>0</v>
      </c>
      <c r="AA59" s="42"/>
      <c r="AB59" s="43"/>
      <c r="AC59" s="2">
        <f t="shared" si="18"/>
        <v>0</v>
      </c>
      <c r="AD59" s="42"/>
      <c r="AE59" s="43"/>
      <c r="AF59" s="2">
        <f t="shared" si="19"/>
        <v>0</v>
      </c>
      <c r="AG59" s="42"/>
      <c r="AH59" s="43"/>
      <c r="AI59" s="2">
        <f t="shared" si="20"/>
        <v>0</v>
      </c>
      <c r="AJ59" s="97" t="str" cm="1">
        <f t="array" ref="AJ59">GETMENORVALOR(H59,K59,N59,Q59,T59,W59,Z59,AC59,AF59,AI59)</f>
        <v/>
      </c>
      <c r="AK59" s="98"/>
    </row>
    <row r="60" spans="1:37" hidden="1" x14ac:dyDescent="0.25">
      <c r="A60" s="10" t="str">
        <f t="shared" si="10"/>
        <v/>
      </c>
      <c r="B60" s="50"/>
      <c r="C60" s="39"/>
      <c r="D60" s="40"/>
      <c r="E60" s="41"/>
      <c r="F60" s="42"/>
      <c r="G60" s="43"/>
      <c r="H60" s="2">
        <f t="shared" si="11"/>
        <v>0</v>
      </c>
      <c r="I60" s="42"/>
      <c r="J60" s="43"/>
      <c r="K60" s="2">
        <f t="shared" si="12"/>
        <v>0</v>
      </c>
      <c r="L60" s="42"/>
      <c r="M60" s="43"/>
      <c r="N60" s="2">
        <f t="shared" si="13"/>
        <v>0</v>
      </c>
      <c r="O60" s="42"/>
      <c r="P60" s="43"/>
      <c r="Q60" s="2">
        <f t="shared" si="14"/>
        <v>0</v>
      </c>
      <c r="R60" s="42"/>
      <c r="S60" s="43"/>
      <c r="T60" s="2">
        <f t="shared" si="15"/>
        <v>0</v>
      </c>
      <c r="U60" s="42"/>
      <c r="V60" s="43"/>
      <c r="W60" s="2">
        <f t="shared" si="16"/>
        <v>0</v>
      </c>
      <c r="X60" s="42"/>
      <c r="Y60" s="43"/>
      <c r="Z60" s="2">
        <f t="shared" si="17"/>
        <v>0</v>
      </c>
      <c r="AA60" s="42"/>
      <c r="AB60" s="43"/>
      <c r="AC60" s="2">
        <f t="shared" si="18"/>
        <v>0</v>
      </c>
      <c r="AD60" s="42"/>
      <c r="AE60" s="43"/>
      <c r="AF60" s="2">
        <f t="shared" si="19"/>
        <v>0</v>
      </c>
      <c r="AG60" s="42"/>
      <c r="AH60" s="43"/>
      <c r="AI60" s="2">
        <f t="shared" si="20"/>
        <v>0</v>
      </c>
      <c r="AJ60" s="97" t="str" cm="1">
        <f t="array" ref="AJ60">GETMENORVALOR(H60,K60,N60,Q60,T60,W60,Z60,AC60,AF60,AI60)</f>
        <v/>
      </c>
      <c r="AK60" s="98"/>
    </row>
    <row r="61" spans="1:37" hidden="1" x14ac:dyDescent="0.25">
      <c r="A61" s="10" t="str">
        <f t="shared" si="10"/>
        <v/>
      </c>
      <c r="B61" s="50"/>
      <c r="C61" s="39"/>
      <c r="D61" s="40"/>
      <c r="E61" s="41"/>
      <c r="F61" s="42"/>
      <c r="G61" s="43"/>
      <c r="H61" s="2">
        <f t="shared" si="11"/>
        <v>0</v>
      </c>
      <c r="I61" s="42"/>
      <c r="J61" s="43"/>
      <c r="K61" s="2">
        <f t="shared" si="12"/>
        <v>0</v>
      </c>
      <c r="L61" s="42"/>
      <c r="M61" s="43"/>
      <c r="N61" s="2">
        <f t="shared" si="13"/>
        <v>0</v>
      </c>
      <c r="O61" s="42"/>
      <c r="P61" s="43"/>
      <c r="Q61" s="2">
        <f t="shared" si="14"/>
        <v>0</v>
      </c>
      <c r="R61" s="42"/>
      <c r="S61" s="43"/>
      <c r="T61" s="2">
        <f t="shared" si="15"/>
        <v>0</v>
      </c>
      <c r="U61" s="42"/>
      <c r="V61" s="43"/>
      <c r="W61" s="2">
        <f t="shared" si="16"/>
        <v>0</v>
      </c>
      <c r="X61" s="42"/>
      <c r="Y61" s="43"/>
      <c r="Z61" s="2">
        <f t="shared" si="17"/>
        <v>0</v>
      </c>
      <c r="AA61" s="42"/>
      <c r="AB61" s="43"/>
      <c r="AC61" s="2">
        <f t="shared" si="18"/>
        <v>0</v>
      </c>
      <c r="AD61" s="42"/>
      <c r="AE61" s="43"/>
      <c r="AF61" s="2">
        <f t="shared" si="19"/>
        <v>0</v>
      </c>
      <c r="AG61" s="42"/>
      <c r="AH61" s="43"/>
      <c r="AI61" s="2">
        <f t="shared" si="20"/>
        <v>0</v>
      </c>
      <c r="AJ61" s="97" t="str" cm="1">
        <f t="array" ref="AJ61">GETMENORVALOR(H61,K61,N61,Q61,T61,W61,Z61,AC61,AF61,AI61)</f>
        <v/>
      </c>
      <c r="AK61" s="98"/>
    </row>
    <row r="62" spans="1:37" hidden="1" x14ac:dyDescent="0.25">
      <c r="A62" s="10" t="str">
        <f t="shared" si="10"/>
        <v/>
      </c>
      <c r="B62" s="50"/>
      <c r="C62" s="39"/>
      <c r="D62" s="40"/>
      <c r="E62" s="41"/>
      <c r="F62" s="42"/>
      <c r="G62" s="43"/>
      <c r="H62" s="2">
        <f t="shared" si="11"/>
        <v>0</v>
      </c>
      <c r="I62" s="42"/>
      <c r="J62" s="43"/>
      <c r="K62" s="2">
        <f t="shared" si="12"/>
        <v>0</v>
      </c>
      <c r="L62" s="42"/>
      <c r="M62" s="43"/>
      <c r="N62" s="2">
        <f t="shared" si="13"/>
        <v>0</v>
      </c>
      <c r="O62" s="42"/>
      <c r="P62" s="43"/>
      <c r="Q62" s="2">
        <f t="shared" si="14"/>
        <v>0</v>
      </c>
      <c r="R62" s="42"/>
      <c r="S62" s="43"/>
      <c r="T62" s="2">
        <f t="shared" si="15"/>
        <v>0</v>
      </c>
      <c r="U62" s="42"/>
      <c r="V62" s="43"/>
      <c r="W62" s="2">
        <f t="shared" si="16"/>
        <v>0</v>
      </c>
      <c r="X62" s="42"/>
      <c r="Y62" s="43"/>
      <c r="Z62" s="2">
        <f t="shared" si="17"/>
        <v>0</v>
      </c>
      <c r="AA62" s="42"/>
      <c r="AB62" s="43"/>
      <c r="AC62" s="2">
        <f t="shared" si="18"/>
        <v>0</v>
      </c>
      <c r="AD62" s="42"/>
      <c r="AE62" s="43"/>
      <c r="AF62" s="2">
        <f t="shared" si="19"/>
        <v>0</v>
      </c>
      <c r="AG62" s="42"/>
      <c r="AH62" s="43"/>
      <c r="AI62" s="2">
        <f t="shared" si="20"/>
        <v>0</v>
      </c>
      <c r="AJ62" s="97" t="str" cm="1">
        <f t="array" ref="AJ62">GETMENORVALOR(H62,K62,N62,Q62,T62,W62,Z62,AC62,AF62,AI62)</f>
        <v/>
      </c>
      <c r="AK62" s="98"/>
    </row>
    <row r="63" spans="1:37" hidden="1" x14ac:dyDescent="0.25">
      <c r="A63" s="10" t="str">
        <f t="shared" si="10"/>
        <v/>
      </c>
      <c r="B63" s="50"/>
      <c r="C63" s="39"/>
      <c r="D63" s="40"/>
      <c r="E63" s="41"/>
      <c r="F63" s="42"/>
      <c r="G63" s="43"/>
      <c r="H63" s="2">
        <f t="shared" si="11"/>
        <v>0</v>
      </c>
      <c r="I63" s="42"/>
      <c r="J63" s="43"/>
      <c r="K63" s="2">
        <f t="shared" si="12"/>
        <v>0</v>
      </c>
      <c r="L63" s="42"/>
      <c r="M63" s="43"/>
      <c r="N63" s="2">
        <f t="shared" si="13"/>
        <v>0</v>
      </c>
      <c r="O63" s="42"/>
      <c r="P63" s="43"/>
      <c r="Q63" s="2">
        <f t="shared" si="14"/>
        <v>0</v>
      </c>
      <c r="R63" s="42"/>
      <c r="S63" s="43"/>
      <c r="T63" s="2">
        <f t="shared" si="15"/>
        <v>0</v>
      </c>
      <c r="U63" s="42"/>
      <c r="V63" s="43"/>
      <c r="W63" s="2">
        <f t="shared" si="16"/>
        <v>0</v>
      </c>
      <c r="X63" s="42"/>
      <c r="Y63" s="43"/>
      <c r="Z63" s="2">
        <f t="shared" si="17"/>
        <v>0</v>
      </c>
      <c r="AA63" s="42"/>
      <c r="AB63" s="43"/>
      <c r="AC63" s="2">
        <f t="shared" si="18"/>
        <v>0</v>
      </c>
      <c r="AD63" s="42"/>
      <c r="AE63" s="43"/>
      <c r="AF63" s="2">
        <f t="shared" si="19"/>
        <v>0</v>
      </c>
      <c r="AG63" s="42"/>
      <c r="AH63" s="43"/>
      <c r="AI63" s="2">
        <f t="shared" si="20"/>
        <v>0</v>
      </c>
      <c r="AJ63" s="97" t="str" cm="1">
        <f t="array" ref="AJ63">GETMENORVALOR(H63,K63,N63,Q63,T63,W63,Z63,AC63,AF63,AI63)</f>
        <v/>
      </c>
      <c r="AK63" s="98"/>
    </row>
    <row r="64" spans="1:37" hidden="1" x14ac:dyDescent="0.25">
      <c r="A64" s="10" t="str">
        <f t="shared" si="10"/>
        <v/>
      </c>
      <c r="B64" s="50"/>
      <c r="C64" s="39"/>
      <c r="D64" s="40"/>
      <c r="E64" s="41"/>
      <c r="F64" s="42"/>
      <c r="G64" s="43"/>
      <c r="H64" s="2">
        <f t="shared" si="11"/>
        <v>0</v>
      </c>
      <c r="I64" s="42"/>
      <c r="J64" s="43"/>
      <c r="K64" s="2">
        <f t="shared" si="12"/>
        <v>0</v>
      </c>
      <c r="L64" s="42"/>
      <c r="M64" s="43"/>
      <c r="N64" s="2">
        <f t="shared" si="13"/>
        <v>0</v>
      </c>
      <c r="O64" s="42"/>
      <c r="P64" s="43"/>
      <c r="Q64" s="2">
        <f t="shared" si="14"/>
        <v>0</v>
      </c>
      <c r="R64" s="42"/>
      <c r="S64" s="43"/>
      <c r="T64" s="2">
        <f t="shared" si="15"/>
        <v>0</v>
      </c>
      <c r="U64" s="42"/>
      <c r="V64" s="43"/>
      <c r="W64" s="2">
        <f t="shared" si="16"/>
        <v>0</v>
      </c>
      <c r="X64" s="42"/>
      <c r="Y64" s="43"/>
      <c r="Z64" s="2">
        <f t="shared" si="17"/>
        <v>0</v>
      </c>
      <c r="AA64" s="42"/>
      <c r="AB64" s="43"/>
      <c r="AC64" s="2">
        <f t="shared" si="18"/>
        <v>0</v>
      </c>
      <c r="AD64" s="42"/>
      <c r="AE64" s="43"/>
      <c r="AF64" s="2">
        <f t="shared" si="19"/>
        <v>0</v>
      </c>
      <c r="AG64" s="42"/>
      <c r="AH64" s="43"/>
      <c r="AI64" s="2">
        <f t="shared" si="20"/>
        <v>0</v>
      </c>
      <c r="AJ64" s="97" t="str" cm="1">
        <f t="array" ref="AJ64">GETMENORVALOR(H64,K64,N64,Q64,T64,W64,Z64,AC64,AF64,AI64)</f>
        <v/>
      </c>
      <c r="AK64" s="98"/>
    </row>
    <row r="65" spans="1:37" hidden="1" x14ac:dyDescent="0.25">
      <c r="A65" s="10" t="str">
        <f t="shared" si="10"/>
        <v/>
      </c>
      <c r="B65" s="50"/>
      <c r="C65" s="39"/>
      <c r="D65" s="40"/>
      <c r="E65" s="41"/>
      <c r="F65" s="42"/>
      <c r="G65" s="43"/>
      <c r="H65" s="2">
        <f t="shared" si="11"/>
        <v>0</v>
      </c>
      <c r="I65" s="42"/>
      <c r="J65" s="43"/>
      <c r="K65" s="2">
        <f t="shared" si="12"/>
        <v>0</v>
      </c>
      <c r="L65" s="42"/>
      <c r="M65" s="43"/>
      <c r="N65" s="2">
        <f t="shared" si="13"/>
        <v>0</v>
      </c>
      <c r="O65" s="42"/>
      <c r="P65" s="43"/>
      <c r="Q65" s="2">
        <f t="shared" si="14"/>
        <v>0</v>
      </c>
      <c r="R65" s="42"/>
      <c r="S65" s="43"/>
      <c r="T65" s="2">
        <f t="shared" si="15"/>
        <v>0</v>
      </c>
      <c r="U65" s="42"/>
      <c r="V65" s="43"/>
      <c r="W65" s="2">
        <f t="shared" si="16"/>
        <v>0</v>
      </c>
      <c r="X65" s="42"/>
      <c r="Y65" s="43"/>
      <c r="Z65" s="2">
        <f t="shared" si="17"/>
        <v>0</v>
      </c>
      <c r="AA65" s="42"/>
      <c r="AB65" s="43"/>
      <c r="AC65" s="2">
        <f t="shared" si="18"/>
        <v>0</v>
      </c>
      <c r="AD65" s="42"/>
      <c r="AE65" s="43"/>
      <c r="AF65" s="2">
        <f t="shared" si="19"/>
        <v>0</v>
      </c>
      <c r="AG65" s="42"/>
      <c r="AH65" s="43"/>
      <c r="AI65" s="2">
        <f t="shared" si="20"/>
        <v>0</v>
      </c>
      <c r="AJ65" s="97" t="str" cm="1">
        <f t="array" ref="AJ65">GETMENORVALOR(H65,K65,N65,Q65,T65,W65,Z65,AC65,AF65,AI65)</f>
        <v/>
      </c>
      <c r="AK65" s="98"/>
    </row>
    <row r="66" spans="1:37" hidden="1" x14ac:dyDescent="0.25">
      <c r="A66" s="10" t="str">
        <f t="shared" si="10"/>
        <v/>
      </c>
      <c r="B66" s="50"/>
      <c r="C66" s="39"/>
      <c r="D66" s="40"/>
      <c r="E66" s="41"/>
      <c r="F66" s="42"/>
      <c r="G66" s="43"/>
      <c r="H66" s="2">
        <f t="shared" si="11"/>
        <v>0</v>
      </c>
      <c r="I66" s="42"/>
      <c r="J66" s="43"/>
      <c r="K66" s="2">
        <f t="shared" si="12"/>
        <v>0</v>
      </c>
      <c r="L66" s="42"/>
      <c r="M66" s="43"/>
      <c r="N66" s="2">
        <f t="shared" si="13"/>
        <v>0</v>
      </c>
      <c r="O66" s="42"/>
      <c r="P66" s="43"/>
      <c r="Q66" s="2">
        <f t="shared" si="14"/>
        <v>0</v>
      </c>
      <c r="R66" s="42"/>
      <c r="S66" s="43"/>
      <c r="T66" s="2">
        <f t="shared" si="15"/>
        <v>0</v>
      </c>
      <c r="U66" s="42"/>
      <c r="V66" s="43"/>
      <c r="W66" s="2">
        <f t="shared" si="16"/>
        <v>0</v>
      </c>
      <c r="X66" s="42"/>
      <c r="Y66" s="43"/>
      <c r="Z66" s="2">
        <f t="shared" si="17"/>
        <v>0</v>
      </c>
      <c r="AA66" s="42"/>
      <c r="AB66" s="43"/>
      <c r="AC66" s="2">
        <f t="shared" si="18"/>
        <v>0</v>
      </c>
      <c r="AD66" s="42"/>
      <c r="AE66" s="43"/>
      <c r="AF66" s="2">
        <f t="shared" si="19"/>
        <v>0</v>
      </c>
      <c r="AG66" s="42"/>
      <c r="AH66" s="43"/>
      <c r="AI66" s="2">
        <f t="shared" si="20"/>
        <v>0</v>
      </c>
      <c r="AJ66" s="97" t="str" cm="1">
        <f t="array" ref="AJ66">GETMENORVALOR(H66,K66,N66,Q66,T66,W66,Z66,AC66,AF66,AI66)</f>
        <v/>
      </c>
      <c r="AK66" s="98"/>
    </row>
    <row r="67" spans="1:37" hidden="1" x14ac:dyDescent="0.25">
      <c r="A67" s="10" t="str">
        <f t="shared" si="10"/>
        <v/>
      </c>
      <c r="B67" s="50"/>
      <c r="C67" s="39"/>
      <c r="D67" s="40"/>
      <c r="E67" s="41"/>
      <c r="F67" s="42"/>
      <c r="G67" s="43"/>
      <c r="H67" s="2">
        <f t="shared" si="11"/>
        <v>0</v>
      </c>
      <c r="I67" s="42"/>
      <c r="J67" s="43"/>
      <c r="K67" s="2">
        <f t="shared" si="12"/>
        <v>0</v>
      </c>
      <c r="L67" s="42"/>
      <c r="M67" s="43"/>
      <c r="N67" s="2">
        <f t="shared" si="13"/>
        <v>0</v>
      </c>
      <c r="O67" s="42"/>
      <c r="P67" s="43"/>
      <c r="Q67" s="2">
        <f t="shared" si="14"/>
        <v>0</v>
      </c>
      <c r="R67" s="42"/>
      <c r="S67" s="43"/>
      <c r="T67" s="2">
        <f t="shared" si="15"/>
        <v>0</v>
      </c>
      <c r="U67" s="42"/>
      <c r="V67" s="43"/>
      <c r="W67" s="2">
        <f t="shared" si="16"/>
        <v>0</v>
      </c>
      <c r="X67" s="42"/>
      <c r="Y67" s="43"/>
      <c r="Z67" s="2">
        <f t="shared" si="17"/>
        <v>0</v>
      </c>
      <c r="AA67" s="42"/>
      <c r="AB67" s="43"/>
      <c r="AC67" s="2">
        <f t="shared" si="18"/>
        <v>0</v>
      </c>
      <c r="AD67" s="42"/>
      <c r="AE67" s="43"/>
      <c r="AF67" s="2">
        <f t="shared" si="19"/>
        <v>0</v>
      </c>
      <c r="AG67" s="42"/>
      <c r="AH67" s="43"/>
      <c r="AI67" s="2">
        <f t="shared" si="20"/>
        <v>0</v>
      </c>
      <c r="AJ67" s="97" t="str" cm="1">
        <f t="array" ref="AJ67">GETMENORVALOR(H67,K67,N67,Q67,T67,W67,Z67,AC67,AF67,AI67)</f>
        <v/>
      </c>
      <c r="AK67" s="98"/>
    </row>
    <row r="68" spans="1:37" hidden="1" x14ac:dyDescent="0.25">
      <c r="A68" s="10" t="str">
        <f t="shared" si="10"/>
        <v/>
      </c>
      <c r="B68" s="50"/>
      <c r="C68" s="39"/>
      <c r="D68" s="40"/>
      <c r="E68" s="41"/>
      <c r="F68" s="42"/>
      <c r="G68" s="43"/>
      <c r="H68" s="2">
        <f t="shared" si="11"/>
        <v>0</v>
      </c>
      <c r="I68" s="42"/>
      <c r="J68" s="43"/>
      <c r="K68" s="2">
        <f t="shared" si="12"/>
        <v>0</v>
      </c>
      <c r="L68" s="42"/>
      <c r="M68" s="43"/>
      <c r="N68" s="2">
        <f t="shared" si="13"/>
        <v>0</v>
      </c>
      <c r="O68" s="42"/>
      <c r="P68" s="43"/>
      <c r="Q68" s="2">
        <f t="shared" si="14"/>
        <v>0</v>
      </c>
      <c r="R68" s="42"/>
      <c r="S68" s="43"/>
      <c r="T68" s="2">
        <f t="shared" si="15"/>
        <v>0</v>
      </c>
      <c r="U68" s="42"/>
      <c r="V68" s="43"/>
      <c r="W68" s="2">
        <f t="shared" si="16"/>
        <v>0</v>
      </c>
      <c r="X68" s="42"/>
      <c r="Y68" s="43"/>
      <c r="Z68" s="2">
        <f t="shared" si="17"/>
        <v>0</v>
      </c>
      <c r="AA68" s="42"/>
      <c r="AB68" s="43"/>
      <c r="AC68" s="2">
        <f t="shared" si="18"/>
        <v>0</v>
      </c>
      <c r="AD68" s="42"/>
      <c r="AE68" s="43"/>
      <c r="AF68" s="2">
        <f t="shared" si="19"/>
        <v>0</v>
      </c>
      <c r="AG68" s="42"/>
      <c r="AH68" s="43"/>
      <c r="AI68" s="2">
        <f t="shared" si="20"/>
        <v>0</v>
      </c>
      <c r="AJ68" s="97" t="str" cm="1">
        <f t="array" ref="AJ68">GETMENORVALOR(H68,K68,N68,Q68,T68,W68,Z68,AC68,AF68,AI68)</f>
        <v/>
      </c>
      <c r="AK68" s="98"/>
    </row>
    <row r="69" spans="1:37" hidden="1" x14ac:dyDescent="0.25">
      <c r="A69" s="10" t="str">
        <f t="shared" si="10"/>
        <v/>
      </c>
      <c r="B69" s="50"/>
      <c r="C69" s="39"/>
      <c r="D69" s="40"/>
      <c r="E69" s="41"/>
      <c r="F69" s="42"/>
      <c r="G69" s="43"/>
      <c r="H69" s="2">
        <f t="shared" si="11"/>
        <v>0</v>
      </c>
      <c r="I69" s="42"/>
      <c r="J69" s="43"/>
      <c r="K69" s="2">
        <f t="shared" si="12"/>
        <v>0</v>
      </c>
      <c r="L69" s="42"/>
      <c r="M69" s="43"/>
      <c r="N69" s="2">
        <f t="shared" si="13"/>
        <v>0</v>
      </c>
      <c r="O69" s="42"/>
      <c r="P69" s="43"/>
      <c r="Q69" s="2">
        <f t="shared" si="14"/>
        <v>0</v>
      </c>
      <c r="R69" s="42"/>
      <c r="S69" s="43"/>
      <c r="T69" s="2">
        <f t="shared" si="15"/>
        <v>0</v>
      </c>
      <c r="U69" s="42"/>
      <c r="V69" s="43"/>
      <c r="W69" s="2">
        <f t="shared" si="16"/>
        <v>0</v>
      </c>
      <c r="X69" s="42"/>
      <c r="Y69" s="43"/>
      <c r="Z69" s="2">
        <f t="shared" si="17"/>
        <v>0</v>
      </c>
      <c r="AA69" s="42"/>
      <c r="AB69" s="43"/>
      <c r="AC69" s="2">
        <f t="shared" si="18"/>
        <v>0</v>
      </c>
      <c r="AD69" s="42"/>
      <c r="AE69" s="43"/>
      <c r="AF69" s="2">
        <f t="shared" si="19"/>
        <v>0</v>
      </c>
      <c r="AG69" s="42"/>
      <c r="AH69" s="43"/>
      <c r="AI69" s="2">
        <f t="shared" si="20"/>
        <v>0</v>
      </c>
      <c r="AJ69" s="97" t="str" cm="1">
        <f t="array" ref="AJ69">GETMENORVALOR(H69,K69,N69,Q69,T69,W69,Z69,AC69,AF69,AI69)</f>
        <v/>
      </c>
      <c r="AK69" s="98"/>
    </row>
    <row r="70" spans="1:37" hidden="1" x14ac:dyDescent="0.25">
      <c r="A70" s="10" t="str">
        <f t="shared" si="10"/>
        <v/>
      </c>
      <c r="B70" s="50"/>
      <c r="C70" s="39"/>
      <c r="D70" s="40"/>
      <c r="E70" s="41"/>
      <c r="F70" s="42"/>
      <c r="G70" s="43"/>
      <c r="H70" s="2">
        <f t="shared" si="11"/>
        <v>0</v>
      </c>
      <c r="I70" s="42"/>
      <c r="J70" s="43"/>
      <c r="K70" s="2">
        <f t="shared" si="12"/>
        <v>0</v>
      </c>
      <c r="L70" s="42"/>
      <c r="M70" s="43"/>
      <c r="N70" s="2">
        <f t="shared" si="13"/>
        <v>0</v>
      </c>
      <c r="O70" s="42"/>
      <c r="P70" s="43"/>
      <c r="Q70" s="2">
        <f t="shared" si="14"/>
        <v>0</v>
      </c>
      <c r="R70" s="42"/>
      <c r="S70" s="43"/>
      <c r="T70" s="2">
        <f t="shared" si="15"/>
        <v>0</v>
      </c>
      <c r="U70" s="42"/>
      <c r="V70" s="43"/>
      <c r="W70" s="2">
        <f t="shared" si="16"/>
        <v>0</v>
      </c>
      <c r="X70" s="42"/>
      <c r="Y70" s="43"/>
      <c r="Z70" s="2">
        <f t="shared" si="17"/>
        <v>0</v>
      </c>
      <c r="AA70" s="42"/>
      <c r="AB70" s="43"/>
      <c r="AC70" s="2">
        <f t="shared" si="18"/>
        <v>0</v>
      </c>
      <c r="AD70" s="42"/>
      <c r="AE70" s="43"/>
      <c r="AF70" s="2">
        <f t="shared" si="19"/>
        <v>0</v>
      </c>
      <c r="AG70" s="42"/>
      <c r="AH70" s="43"/>
      <c r="AI70" s="2">
        <f t="shared" si="20"/>
        <v>0</v>
      </c>
      <c r="AJ70" s="97" t="str" cm="1">
        <f t="array" ref="AJ70">GETMENORVALOR(H70,K70,N70,Q70,T70,W70,Z70,AC70,AF70,AI70)</f>
        <v/>
      </c>
      <c r="AK70" s="98"/>
    </row>
    <row r="71" spans="1:37" hidden="1" x14ac:dyDescent="0.25">
      <c r="A71" s="10" t="str">
        <f t="shared" si="10"/>
        <v/>
      </c>
      <c r="B71" s="50"/>
      <c r="C71" s="39"/>
      <c r="D71" s="40"/>
      <c r="E71" s="41"/>
      <c r="F71" s="42"/>
      <c r="G71" s="43"/>
      <c r="H71" s="2">
        <f t="shared" si="11"/>
        <v>0</v>
      </c>
      <c r="I71" s="42"/>
      <c r="J71" s="43"/>
      <c r="K71" s="2">
        <f t="shared" si="12"/>
        <v>0</v>
      </c>
      <c r="L71" s="42"/>
      <c r="M71" s="43"/>
      <c r="N71" s="2">
        <f t="shared" si="13"/>
        <v>0</v>
      </c>
      <c r="O71" s="42"/>
      <c r="P71" s="43"/>
      <c r="Q71" s="2">
        <f t="shared" si="14"/>
        <v>0</v>
      </c>
      <c r="R71" s="42"/>
      <c r="S71" s="43"/>
      <c r="T71" s="2">
        <f t="shared" si="15"/>
        <v>0</v>
      </c>
      <c r="U71" s="42"/>
      <c r="V71" s="43"/>
      <c r="W71" s="2">
        <f t="shared" si="16"/>
        <v>0</v>
      </c>
      <c r="X71" s="42"/>
      <c r="Y71" s="43"/>
      <c r="Z71" s="2">
        <f t="shared" si="17"/>
        <v>0</v>
      </c>
      <c r="AA71" s="42"/>
      <c r="AB71" s="43"/>
      <c r="AC71" s="2">
        <f t="shared" si="18"/>
        <v>0</v>
      </c>
      <c r="AD71" s="42"/>
      <c r="AE71" s="43"/>
      <c r="AF71" s="2">
        <f t="shared" si="19"/>
        <v>0</v>
      </c>
      <c r="AG71" s="42"/>
      <c r="AH71" s="43"/>
      <c r="AI71" s="2">
        <f t="shared" si="20"/>
        <v>0</v>
      </c>
      <c r="AJ71" s="97" t="str" cm="1">
        <f t="array" ref="AJ71">GETMENORVALOR(H71,K71,N71,Q71,T71,W71,Z71,AC71,AF71,AI71)</f>
        <v/>
      </c>
      <c r="AK71" s="98"/>
    </row>
    <row r="72" spans="1:37" hidden="1" x14ac:dyDescent="0.25">
      <c r="A72" s="10" t="str">
        <f t="shared" si="10"/>
        <v/>
      </c>
      <c r="B72" s="50"/>
      <c r="C72" s="39"/>
      <c r="D72" s="40"/>
      <c r="E72" s="41"/>
      <c r="F72" s="42"/>
      <c r="G72" s="43"/>
      <c r="H72" s="2">
        <f t="shared" si="11"/>
        <v>0</v>
      </c>
      <c r="I72" s="42"/>
      <c r="J72" s="43"/>
      <c r="K72" s="2">
        <f t="shared" si="12"/>
        <v>0</v>
      </c>
      <c r="L72" s="42"/>
      <c r="M72" s="43"/>
      <c r="N72" s="2">
        <f t="shared" si="13"/>
        <v>0</v>
      </c>
      <c r="O72" s="42"/>
      <c r="P72" s="43"/>
      <c r="Q72" s="2">
        <f t="shared" si="14"/>
        <v>0</v>
      </c>
      <c r="R72" s="42"/>
      <c r="S72" s="43"/>
      <c r="T72" s="2">
        <f t="shared" si="15"/>
        <v>0</v>
      </c>
      <c r="U72" s="42"/>
      <c r="V72" s="43"/>
      <c r="W72" s="2">
        <f t="shared" si="16"/>
        <v>0</v>
      </c>
      <c r="X72" s="42"/>
      <c r="Y72" s="43"/>
      <c r="Z72" s="2">
        <f t="shared" si="17"/>
        <v>0</v>
      </c>
      <c r="AA72" s="42"/>
      <c r="AB72" s="43"/>
      <c r="AC72" s="2">
        <f t="shared" si="18"/>
        <v>0</v>
      </c>
      <c r="AD72" s="42"/>
      <c r="AE72" s="43"/>
      <c r="AF72" s="2">
        <f t="shared" si="19"/>
        <v>0</v>
      </c>
      <c r="AG72" s="42"/>
      <c r="AH72" s="43"/>
      <c r="AI72" s="2">
        <f t="shared" si="20"/>
        <v>0</v>
      </c>
      <c r="AJ72" s="97" t="str" cm="1">
        <f t="array" ref="AJ72">GETMENORVALOR(H72,K72,N72,Q72,T72,W72,Z72,AC72,AF72,AI72)</f>
        <v/>
      </c>
      <c r="AK72" s="98"/>
    </row>
    <row r="73" spans="1:37" hidden="1" x14ac:dyDescent="0.25">
      <c r="A73" s="10" t="str">
        <f t="shared" si="10"/>
        <v/>
      </c>
      <c r="B73" s="50"/>
      <c r="C73" s="39"/>
      <c r="D73" s="40"/>
      <c r="E73" s="41"/>
      <c r="F73" s="42"/>
      <c r="G73" s="43"/>
      <c r="H73" s="2">
        <f t="shared" si="11"/>
        <v>0</v>
      </c>
      <c r="I73" s="42"/>
      <c r="J73" s="43"/>
      <c r="K73" s="2">
        <f t="shared" si="12"/>
        <v>0</v>
      </c>
      <c r="L73" s="42"/>
      <c r="M73" s="43"/>
      <c r="N73" s="2">
        <f t="shared" si="13"/>
        <v>0</v>
      </c>
      <c r="O73" s="42"/>
      <c r="P73" s="43"/>
      <c r="Q73" s="2">
        <f t="shared" si="14"/>
        <v>0</v>
      </c>
      <c r="R73" s="42"/>
      <c r="S73" s="43"/>
      <c r="T73" s="2">
        <f t="shared" si="15"/>
        <v>0</v>
      </c>
      <c r="U73" s="42"/>
      <c r="V73" s="43"/>
      <c r="W73" s="2">
        <f t="shared" si="16"/>
        <v>0</v>
      </c>
      <c r="X73" s="42"/>
      <c r="Y73" s="43"/>
      <c r="Z73" s="2">
        <f t="shared" si="17"/>
        <v>0</v>
      </c>
      <c r="AA73" s="42"/>
      <c r="AB73" s="43"/>
      <c r="AC73" s="2">
        <f t="shared" si="18"/>
        <v>0</v>
      </c>
      <c r="AD73" s="42"/>
      <c r="AE73" s="43"/>
      <c r="AF73" s="2">
        <f t="shared" si="19"/>
        <v>0</v>
      </c>
      <c r="AG73" s="42"/>
      <c r="AH73" s="43"/>
      <c r="AI73" s="2">
        <f t="shared" si="20"/>
        <v>0</v>
      </c>
      <c r="AJ73" s="97" t="str" cm="1">
        <f t="array" ref="AJ73">GETMENORVALOR(H73,K73,N73,Q73,T73,W73,Z73,AC73,AF73,AI73)</f>
        <v/>
      </c>
      <c r="AK73" s="98"/>
    </row>
    <row r="74" spans="1:37" hidden="1" x14ac:dyDescent="0.25">
      <c r="A74" s="10" t="str">
        <f t="shared" si="10"/>
        <v/>
      </c>
      <c r="B74" s="50"/>
      <c r="C74" s="39"/>
      <c r="D74" s="40"/>
      <c r="E74" s="41"/>
      <c r="F74" s="42"/>
      <c r="G74" s="43"/>
      <c r="H74" s="2">
        <f t="shared" si="11"/>
        <v>0</v>
      </c>
      <c r="I74" s="42"/>
      <c r="J74" s="43"/>
      <c r="K74" s="2">
        <f t="shared" si="12"/>
        <v>0</v>
      </c>
      <c r="L74" s="42"/>
      <c r="M74" s="43"/>
      <c r="N74" s="2">
        <f t="shared" si="13"/>
        <v>0</v>
      </c>
      <c r="O74" s="42"/>
      <c r="P74" s="43"/>
      <c r="Q74" s="2">
        <f t="shared" si="14"/>
        <v>0</v>
      </c>
      <c r="R74" s="42"/>
      <c r="S74" s="43"/>
      <c r="T74" s="2">
        <f t="shared" si="15"/>
        <v>0</v>
      </c>
      <c r="U74" s="42"/>
      <c r="V74" s="43"/>
      <c r="W74" s="2">
        <f t="shared" si="16"/>
        <v>0</v>
      </c>
      <c r="X74" s="42"/>
      <c r="Y74" s="43"/>
      <c r="Z74" s="2">
        <f t="shared" si="17"/>
        <v>0</v>
      </c>
      <c r="AA74" s="42"/>
      <c r="AB74" s="43"/>
      <c r="AC74" s="2">
        <f t="shared" si="18"/>
        <v>0</v>
      </c>
      <c r="AD74" s="42"/>
      <c r="AE74" s="43"/>
      <c r="AF74" s="2">
        <f t="shared" si="19"/>
        <v>0</v>
      </c>
      <c r="AG74" s="42"/>
      <c r="AH74" s="43"/>
      <c r="AI74" s="2">
        <f t="shared" si="20"/>
        <v>0</v>
      </c>
      <c r="AJ74" s="97" t="str" cm="1">
        <f t="array" ref="AJ74">GETMENORVALOR(H74,K74,N74,Q74,T74,W74,Z74,AC74,AF74,AI74)</f>
        <v/>
      </c>
      <c r="AK74" s="98"/>
    </row>
    <row r="75" spans="1:37" hidden="1" x14ac:dyDescent="0.25">
      <c r="A75" s="10" t="str">
        <f t="shared" si="10"/>
        <v/>
      </c>
      <c r="B75" s="50"/>
      <c r="C75" s="39"/>
      <c r="D75" s="40"/>
      <c r="E75" s="41"/>
      <c r="F75" s="42"/>
      <c r="G75" s="43"/>
      <c r="H75" s="2">
        <f t="shared" si="11"/>
        <v>0</v>
      </c>
      <c r="I75" s="42"/>
      <c r="J75" s="43"/>
      <c r="K75" s="2">
        <f t="shared" si="12"/>
        <v>0</v>
      </c>
      <c r="L75" s="42"/>
      <c r="M75" s="43"/>
      <c r="N75" s="2">
        <f t="shared" si="13"/>
        <v>0</v>
      </c>
      <c r="O75" s="42"/>
      <c r="P75" s="43"/>
      <c r="Q75" s="2">
        <f t="shared" si="14"/>
        <v>0</v>
      </c>
      <c r="R75" s="42"/>
      <c r="S75" s="43"/>
      <c r="T75" s="2">
        <f t="shared" si="15"/>
        <v>0</v>
      </c>
      <c r="U75" s="42"/>
      <c r="V75" s="43"/>
      <c r="W75" s="2">
        <f t="shared" si="16"/>
        <v>0</v>
      </c>
      <c r="X75" s="42"/>
      <c r="Y75" s="43"/>
      <c r="Z75" s="2">
        <f t="shared" si="17"/>
        <v>0</v>
      </c>
      <c r="AA75" s="42"/>
      <c r="AB75" s="43"/>
      <c r="AC75" s="2">
        <f t="shared" si="18"/>
        <v>0</v>
      </c>
      <c r="AD75" s="42"/>
      <c r="AE75" s="43"/>
      <c r="AF75" s="2">
        <f t="shared" si="19"/>
        <v>0</v>
      </c>
      <c r="AG75" s="42"/>
      <c r="AH75" s="43"/>
      <c r="AI75" s="2">
        <f t="shared" si="20"/>
        <v>0</v>
      </c>
      <c r="AJ75" s="97" t="str" cm="1">
        <f t="array" ref="AJ75">GETMENORVALOR(H75,K75,N75,Q75,T75,W75,Z75,AC75,AF75,AI75)</f>
        <v/>
      </c>
      <c r="AK75" s="98"/>
    </row>
    <row r="76" spans="1:37" hidden="1" x14ac:dyDescent="0.25">
      <c r="A76" s="10" t="str">
        <f t="shared" si="10"/>
        <v/>
      </c>
      <c r="B76" s="50"/>
      <c r="C76" s="39"/>
      <c r="D76" s="40"/>
      <c r="E76" s="41"/>
      <c r="F76" s="42"/>
      <c r="G76" s="43"/>
      <c r="H76" s="2">
        <f t="shared" si="11"/>
        <v>0</v>
      </c>
      <c r="I76" s="42"/>
      <c r="J76" s="43"/>
      <c r="K76" s="2">
        <f t="shared" si="12"/>
        <v>0</v>
      </c>
      <c r="L76" s="42"/>
      <c r="M76" s="43"/>
      <c r="N76" s="2">
        <f t="shared" si="13"/>
        <v>0</v>
      </c>
      <c r="O76" s="42"/>
      <c r="P76" s="43"/>
      <c r="Q76" s="2">
        <f t="shared" si="14"/>
        <v>0</v>
      </c>
      <c r="R76" s="42"/>
      <c r="S76" s="43"/>
      <c r="T76" s="2">
        <f t="shared" si="15"/>
        <v>0</v>
      </c>
      <c r="U76" s="42"/>
      <c r="V76" s="43"/>
      <c r="W76" s="2">
        <f t="shared" si="16"/>
        <v>0</v>
      </c>
      <c r="X76" s="42"/>
      <c r="Y76" s="43"/>
      <c r="Z76" s="2">
        <f t="shared" si="17"/>
        <v>0</v>
      </c>
      <c r="AA76" s="42"/>
      <c r="AB76" s="43"/>
      <c r="AC76" s="2">
        <f t="shared" si="18"/>
        <v>0</v>
      </c>
      <c r="AD76" s="42"/>
      <c r="AE76" s="43"/>
      <c r="AF76" s="2">
        <f t="shared" si="19"/>
        <v>0</v>
      </c>
      <c r="AG76" s="42"/>
      <c r="AH76" s="43"/>
      <c r="AI76" s="2">
        <f t="shared" si="20"/>
        <v>0</v>
      </c>
      <c r="AJ76" s="97" t="str" cm="1">
        <f t="array" ref="AJ76">GETMENORVALOR(H76,K76,N76,Q76,T76,W76,Z76,AC76,AF76,AI76)</f>
        <v/>
      </c>
      <c r="AK76" s="98"/>
    </row>
    <row r="77" spans="1:37" hidden="1" x14ac:dyDescent="0.25">
      <c r="A77" s="10" t="str">
        <f t="shared" si="10"/>
        <v/>
      </c>
      <c r="B77" s="50"/>
      <c r="C77" s="39"/>
      <c r="D77" s="40"/>
      <c r="E77" s="41"/>
      <c r="F77" s="42"/>
      <c r="G77" s="43"/>
      <c r="H77" s="2">
        <f t="shared" si="11"/>
        <v>0</v>
      </c>
      <c r="I77" s="42"/>
      <c r="J77" s="43"/>
      <c r="K77" s="2">
        <f t="shared" si="12"/>
        <v>0</v>
      </c>
      <c r="L77" s="42"/>
      <c r="M77" s="43"/>
      <c r="N77" s="2">
        <f t="shared" si="13"/>
        <v>0</v>
      </c>
      <c r="O77" s="42"/>
      <c r="P77" s="43"/>
      <c r="Q77" s="2">
        <f t="shared" si="14"/>
        <v>0</v>
      </c>
      <c r="R77" s="42"/>
      <c r="S77" s="43"/>
      <c r="T77" s="2">
        <f t="shared" si="15"/>
        <v>0</v>
      </c>
      <c r="U77" s="42"/>
      <c r="V77" s="43"/>
      <c r="W77" s="2">
        <f t="shared" si="16"/>
        <v>0</v>
      </c>
      <c r="X77" s="42"/>
      <c r="Y77" s="43"/>
      <c r="Z77" s="2">
        <f t="shared" si="17"/>
        <v>0</v>
      </c>
      <c r="AA77" s="42"/>
      <c r="AB77" s="43"/>
      <c r="AC77" s="2">
        <f t="shared" si="18"/>
        <v>0</v>
      </c>
      <c r="AD77" s="42"/>
      <c r="AE77" s="43"/>
      <c r="AF77" s="2">
        <f t="shared" si="19"/>
        <v>0</v>
      </c>
      <c r="AG77" s="42"/>
      <c r="AH77" s="43"/>
      <c r="AI77" s="2">
        <f t="shared" si="20"/>
        <v>0</v>
      </c>
      <c r="AJ77" s="97" t="str" cm="1">
        <f t="array" ref="AJ77">GETMENORVALOR(H77,K77,N77,Q77,T77,W77,Z77,AC77,AF77,AI77)</f>
        <v/>
      </c>
      <c r="AK77" s="98"/>
    </row>
    <row r="78" spans="1:37" hidden="1" x14ac:dyDescent="0.25">
      <c r="A78" s="10" t="str">
        <f t="shared" si="10"/>
        <v/>
      </c>
      <c r="B78" s="50"/>
      <c r="C78" s="39"/>
      <c r="D78" s="40"/>
      <c r="E78" s="41"/>
      <c r="F78" s="42"/>
      <c r="G78" s="43"/>
      <c r="H78" s="2">
        <f t="shared" si="11"/>
        <v>0</v>
      </c>
      <c r="I78" s="42"/>
      <c r="J78" s="43"/>
      <c r="K78" s="2">
        <f t="shared" si="12"/>
        <v>0</v>
      </c>
      <c r="L78" s="42"/>
      <c r="M78" s="43"/>
      <c r="N78" s="2">
        <f t="shared" si="13"/>
        <v>0</v>
      </c>
      <c r="O78" s="42"/>
      <c r="P78" s="43"/>
      <c r="Q78" s="2">
        <f t="shared" si="14"/>
        <v>0</v>
      </c>
      <c r="R78" s="42"/>
      <c r="S78" s="43"/>
      <c r="T78" s="2">
        <f t="shared" si="15"/>
        <v>0</v>
      </c>
      <c r="U78" s="42"/>
      <c r="V78" s="43"/>
      <c r="W78" s="2">
        <f t="shared" si="16"/>
        <v>0</v>
      </c>
      <c r="X78" s="42"/>
      <c r="Y78" s="43"/>
      <c r="Z78" s="2">
        <f t="shared" si="17"/>
        <v>0</v>
      </c>
      <c r="AA78" s="42"/>
      <c r="AB78" s="43"/>
      <c r="AC78" s="2">
        <f t="shared" si="18"/>
        <v>0</v>
      </c>
      <c r="AD78" s="42"/>
      <c r="AE78" s="43"/>
      <c r="AF78" s="2">
        <f t="shared" si="19"/>
        <v>0</v>
      </c>
      <c r="AG78" s="42"/>
      <c r="AH78" s="43"/>
      <c r="AI78" s="2">
        <f t="shared" si="20"/>
        <v>0</v>
      </c>
      <c r="AJ78" s="97" t="str" cm="1">
        <f t="array" ref="AJ78">GETMENORVALOR(H78,K78,N78,Q78,T78,W78,Z78,AC78,AF78,AI78)</f>
        <v/>
      </c>
      <c r="AK78" s="98"/>
    </row>
    <row r="79" spans="1:37" hidden="1" x14ac:dyDescent="0.25">
      <c r="A79" s="10" t="str">
        <f t="shared" si="10"/>
        <v/>
      </c>
      <c r="B79" s="50"/>
      <c r="C79" s="39"/>
      <c r="D79" s="40"/>
      <c r="E79" s="41"/>
      <c r="F79" s="42"/>
      <c r="G79" s="43"/>
      <c r="H79" s="2">
        <f t="shared" si="11"/>
        <v>0</v>
      </c>
      <c r="I79" s="42"/>
      <c r="J79" s="43"/>
      <c r="K79" s="2">
        <f t="shared" si="12"/>
        <v>0</v>
      </c>
      <c r="L79" s="42"/>
      <c r="M79" s="43"/>
      <c r="N79" s="2">
        <f t="shared" si="13"/>
        <v>0</v>
      </c>
      <c r="O79" s="42"/>
      <c r="P79" s="43"/>
      <c r="Q79" s="2">
        <f t="shared" si="14"/>
        <v>0</v>
      </c>
      <c r="R79" s="42"/>
      <c r="S79" s="43"/>
      <c r="T79" s="2">
        <f t="shared" si="15"/>
        <v>0</v>
      </c>
      <c r="U79" s="42"/>
      <c r="V79" s="43"/>
      <c r="W79" s="2">
        <f t="shared" si="16"/>
        <v>0</v>
      </c>
      <c r="X79" s="42"/>
      <c r="Y79" s="43"/>
      <c r="Z79" s="2">
        <f t="shared" si="17"/>
        <v>0</v>
      </c>
      <c r="AA79" s="42"/>
      <c r="AB79" s="43"/>
      <c r="AC79" s="2">
        <f t="shared" si="18"/>
        <v>0</v>
      </c>
      <c r="AD79" s="42"/>
      <c r="AE79" s="43"/>
      <c r="AF79" s="2">
        <f t="shared" si="19"/>
        <v>0</v>
      </c>
      <c r="AG79" s="42"/>
      <c r="AH79" s="43"/>
      <c r="AI79" s="2">
        <f t="shared" si="20"/>
        <v>0</v>
      </c>
      <c r="AJ79" s="97" t="str" cm="1">
        <f t="array" ref="AJ79">GETMENORVALOR(H79,K79,N79,Q79,T79,W79,Z79,AC79,AF79,AI79)</f>
        <v/>
      </c>
      <c r="AK79" s="98"/>
    </row>
    <row r="80" spans="1:37" hidden="1" x14ac:dyDescent="0.25">
      <c r="A80" s="10" t="str">
        <f t="shared" si="10"/>
        <v/>
      </c>
      <c r="B80" s="50"/>
      <c r="C80" s="39"/>
      <c r="D80" s="40"/>
      <c r="E80" s="41"/>
      <c r="F80" s="42"/>
      <c r="G80" s="43"/>
      <c r="H80" s="2">
        <f t="shared" si="11"/>
        <v>0</v>
      </c>
      <c r="I80" s="42"/>
      <c r="J80" s="43"/>
      <c r="K80" s="2">
        <f t="shared" si="12"/>
        <v>0</v>
      </c>
      <c r="L80" s="42"/>
      <c r="M80" s="43"/>
      <c r="N80" s="2">
        <f t="shared" si="13"/>
        <v>0</v>
      </c>
      <c r="O80" s="42"/>
      <c r="P80" s="43"/>
      <c r="Q80" s="2">
        <f t="shared" si="14"/>
        <v>0</v>
      </c>
      <c r="R80" s="42"/>
      <c r="S80" s="43"/>
      <c r="T80" s="2">
        <f t="shared" si="15"/>
        <v>0</v>
      </c>
      <c r="U80" s="42"/>
      <c r="V80" s="43"/>
      <c r="W80" s="2">
        <f t="shared" si="16"/>
        <v>0</v>
      </c>
      <c r="X80" s="42"/>
      <c r="Y80" s="43"/>
      <c r="Z80" s="2">
        <f t="shared" si="17"/>
        <v>0</v>
      </c>
      <c r="AA80" s="42"/>
      <c r="AB80" s="43"/>
      <c r="AC80" s="2">
        <f t="shared" si="18"/>
        <v>0</v>
      </c>
      <c r="AD80" s="42"/>
      <c r="AE80" s="43"/>
      <c r="AF80" s="2">
        <f t="shared" si="19"/>
        <v>0</v>
      </c>
      <c r="AG80" s="42"/>
      <c r="AH80" s="43"/>
      <c r="AI80" s="2">
        <f t="shared" si="20"/>
        <v>0</v>
      </c>
      <c r="AJ80" s="97" t="str" cm="1">
        <f t="array" ref="AJ80">GETMENORVALOR(H80,K80,N80,Q80,T80,W80,Z80,AC80,AF80,AI80)</f>
        <v/>
      </c>
      <c r="AK80" s="98"/>
    </row>
    <row r="81" spans="1:37" hidden="1" x14ac:dyDescent="0.25">
      <c r="A81" s="10" t="str">
        <f t="shared" si="10"/>
        <v/>
      </c>
      <c r="B81" s="50"/>
      <c r="C81" s="39"/>
      <c r="D81" s="40"/>
      <c r="E81" s="41"/>
      <c r="F81" s="42"/>
      <c r="G81" s="43"/>
      <c r="H81" s="2">
        <f t="shared" si="11"/>
        <v>0</v>
      </c>
      <c r="I81" s="42"/>
      <c r="J81" s="43"/>
      <c r="K81" s="2">
        <f t="shared" si="12"/>
        <v>0</v>
      </c>
      <c r="L81" s="42"/>
      <c r="M81" s="43"/>
      <c r="N81" s="2">
        <f t="shared" si="13"/>
        <v>0</v>
      </c>
      <c r="O81" s="42"/>
      <c r="P81" s="43"/>
      <c r="Q81" s="2">
        <f t="shared" si="14"/>
        <v>0</v>
      </c>
      <c r="R81" s="42"/>
      <c r="S81" s="43"/>
      <c r="T81" s="2">
        <f t="shared" si="15"/>
        <v>0</v>
      </c>
      <c r="U81" s="42"/>
      <c r="V81" s="43"/>
      <c r="W81" s="2">
        <f t="shared" si="16"/>
        <v>0</v>
      </c>
      <c r="X81" s="42"/>
      <c r="Y81" s="43"/>
      <c r="Z81" s="2">
        <f t="shared" si="17"/>
        <v>0</v>
      </c>
      <c r="AA81" s="42"/>
      <c r="AB81" s="43"/>
      <c r="AC81" s="2">
        <f t="shared" si="18"/>
        <v>0</v>
      </c>
      <c r="AD81" s="42"/>
      <c r="AE81" s="43"/>
      <c r="AF81" s="2">
        <f t="shared" si="19"/>
        <v>0</v>
      </c>
      <c r="AG81" s="42"/>
      <c r="AH81" s="43"/>
      <c r="AI81" s="2">
        <f t="shared" si="20"/>
        <v>0</v>
      </c>
      <c r="AJ81" s="97" t="str" cm="1">
        <f t="array" ref="AJ81">GETMENORVALOR(H81,K81,N81,Q81,T81,W81,Z81,AC81,AF81,AI81)</f>
        <v/>
      </c>
      <c r="AK81" s="98"/>
    </row>
    <row r="82" spans="1:37" hidden="1" x14ac:dyDescent="0.25">
      <c r="A82" s="10" t="str">
        <f t="shared" si="10"/>
        <v/>
      </c>
      <c r="B82" s="50"/>
      <c r="C82" s="39"/>
      <c r="D82" s="40"/>
      <c r="E82" s="41"/>
      <c r="F82" s="42"/>
      <c r="G82" s="43"/>
      <c r="H82" s="2">
        <f t="shared" ref="H82:H113" si="21">IF($A82&lt;&gt;"", F82 * $D82 * (1 - G82), 0)</f>
        <v>0</v>
      </c>
      <c r="I82" s="42"/>
      <c r="J82" s="43"/>
      <c r="K82" s="2">
        <f t="shared" ref="K82:K113" si="22">IF($A82&lt;&gt;"", I82 * $D82 * (1 - J82), 0)</f>
        <v>0</v>
      </c>
      <c r="L82" s="42"/>
      <c r="M82" s="43"/>
      <c r="N82" s="2">
        <f t="shared" ref="N82:N113" si="23">IF($A82&lt;&gt;"", L82 * $D82 * (1 - M82), 0)</f>
        <v>0</v>
      </c>
      <c r="O82" s="42"/>
      <c r="P82" s="43"/>
      <c r="Q82" s="2">
        <f t="shared" ref="Q82:Q113" si="24">IF($A82&lt;&gt;"", O82 * $D82 * (1 - P82), 0)</f>
        <v>0</v>
      </c>
      <c r="R82" s="42"/>
      <c r="S82" s="43"/>
      <c r="T82" s="2">
        <f t="shared" ref="T82:T113" si="25">IF($A82&lt;&gt;"", R82 * $D82 * (1 - S82), 0)</f>
        <v>0</v>
      </c>
      <c r="U82" s="42"/>
      <c r="V82" s="43"/>
      <c r="W82" s="2">
        <f t="shared" ref="W82:W113" si="26">IF($A82&lt;&gt;"", U82 * $D82 * (1 - V82), 0)</f>
        <v>0</v>
      </c>
      <c r="X82" s="42"/>
      <c r="Y82" s="43"/>
      <c r="Z82" s="2">
        <f t="shared" ref="Z82:Z113" si="27">IF($A82&lt;&gt;"", X82 * $D82 * (1 - Y82), 0)</f>
        <v>0</v>
      </c>
      <c r="AA82" s="42"/>
      <c r="AB82" s="43"/>
      <c r="AC82" s="2">
        <f t="shared" ref="AC82:AC113" si="28">IF($A82&lt;&gt;"", AA82 * $D82 * (1 - AB82), 0)</f>
        <v>0</v>
      </c>
      <c r="AD82" s="42"/>
      <c r="AE82" s="43"/>
      <c r="AF82" s="2">
        <f t="shared" ref="AF82:AF113" si="29">IF($A82&lt;&gt;"", AD82 * $D82 * (1 - AE82), 0)</f>
        <v>0</v>
      </c>
      <c r="AG82" s="42"/>
      <c r="AH82" s="43"/>
      <c r="AI82" s="2">
        <f t="shared" ref="AI82:AI113" si="30">IF($A82&lt;&gt;"", AG82 * $D82 * (1 - AH82), 0)</f>
        <v>0</v>
      </c>
      <c r="AJ82" s="97" t="str" cm="1">
        <f t="array" ref="AJ82">GETMENORVALOR(H82,K82,N82,Q82,T82,W82,Z82,AC82,AF82,AI82)</f>
        <v/>
      </c>
      <c r="AK82" s="98"/>
    </row>
    <row r="83" spans="1:37" hidden="1" x14ac:dyDescent="0.25">
      <c r="A83" s="10" t="str">
        <f t="shared" ref="A83:A146" si="31">IF(AND(ISBLANK(B83), ISBLANK(C83)), "", B83 &amp; ROW(A66))</f>
        <v/>
      </c>
      <c r="B83" s="50"/>
      <c r="C83" s="39"/>
      <c r="D83" s="40"/>
      <c r="E83" s="41"/>
      <c r="F83" s="42"/>
      <c r="G83" s="43"/>
      <c r="H83" s="2">
        <f t="shared" si="21"/>
        <v>0</v>
      </c>
      <c r="I83" s="42"/>
      <c r="J83" s="43"/>
      <c r="K83" s="2">
        <f t="shared" si="22"/>
        <v>0</v>
      </c>
      <c r="L83" s="42"/>
      <c r="M83" s="43"/>
      <c r="N83" s="2">
        <f t="shared" si="23"/>
        <v>0</v>
      </c>
      <c r="O83" s="42"/>
      <c r="P83" s="43"/>
      <c r="Q83" s="2">
        <f t="shared" si="24"/>
        <v>0</v>
      </c>
      <c r="R83" s="42"/>
      <c r="S83" s="43"/>
      <c r="T83" s="2">
        <f t="shared" si="25"/>
        <v>0</v>
      </c>
      <c r="U83" s="42"/>
      <c r="V83" s="43"/>
      <c r="W83" s="2">
        <f t="shared" si="26"/>
        <v>0</v>
      </c>
      <c r="X83" s="42"/>
      <c r="Y83" s="43"/>
      <c r="Z83" s="2">
        <f t="shared" si="27"/>
        <v>0</v>
      </c>
      <c r="AA83" s="42"/>
      <c r="AB83" s="43"/>
      <c r="AC83" s="2">
        <f t="shared" si="28"/>
        <v>0</v>
      </c>
      <c r="AD83" s="42"/>
      <c r="AE83" s="43"/>
      <c r="AF83" s="2">
        <f t="shared" si="29"/>
        <v>0</v>
      </c>
      <c r="AG83" s="42"/>
      <c r="AH83" s="43"/>
      <c r="AI83" s="2">
        <f t="shared" si="30"/>
        <v>0</v>
      </c>
      <c r="AJ83" s="97" t="str" cm="1">
        <f t="array" ref="AJ83">GETMENORVALOR(H83,K83,N83,Q83,T83,W83,Z83,AC83,AF83,AI83)</f>
        <v/>
      </c>
      <c r="AK83" s="98"/>
    </row>
    <row r="84" spans="1:37" hidden="1" x14ac:dyDescent="0.25">
      <c r="A84" s="10" t="str">
        <f t="shared" si="31"/>
        <v/>
      </c>
      <c r="B84" s="50"/>
      <c r="C84" s="39"/>
      <c r="D84" s="40"/>
      <c r="E84" s="41"/>
      <c r="F84" s="42"/>
      <c r="G84" s="43"/>
      <c r="H84" s="2">
        <f t="shared" si="21"/>
        <v>0</v>
      </c>
      <c r="I84" s="42"/>
      <c r="J84" s="43"/>
      <c r="K84" s="2">
        <f t="shared" si="22"/>
        <v>0</v>
      </c>
      <c r="L84" s="42"/>
      <c r="M84" s="43"/>
      <c r="N84" s="2">
        <f t="shared" si="23"/>
        <v>0</v>
      </c>
      <c r="O84" s="42"/>
      <c r="P84" s="43"/>
      <c r="Q84" s="2">
        <f t="shared" si="24"/>
        <v>0</v>
      </c>
      <c r="R84" s="42"/>
      <c r="S84" s="43"/>
      <c r="T84" s="2">
        <f t="shared" si="25"/>
        <v>0</v>
      </c>
      <c r="U84" s="42"/>
      <c r="V84" s="43"/>
      <c r="W84" s="2">
        <f t="shared" si="26"/>
        <v>0</v>
      </c>
      <c r="X84" s="42"/>
      <c r="Y84" s="43"/>
      <c r="Z84" s="2">
        <f t="shared" si="27"/>
        <v>0</v>
      </c>
      <c r="AA84" s="42"/>
      <c r="AB84" s="43"/>
      <c r="AC84" s="2">
        <f t="shared" si="28"/>
        <v>0</v>
      </c>
      <c r="AD84" s="42"/>
      <c r="AE84" s="43"/>
      <c r="AF84" s="2">
        <f t="shared" si="29"/>
        <v>0</v>
      </c>
      <c r="AG84" s="42"/>
      <c r="AH84" s="43"/>
      <c r="AI84" s="2">
        <f t="shared" si="30"/>
        <v>0</v>
      </c>
      <c r="AJ84" s="97" t="str" cm="1">
        <f t="array" ref="AJ84">GETMENORVALOR(H84,K84,N84,Q84,T84,W84,Z84,AC84,AF84,AI84)</f>
        <v/>
      </c>
      <c r="AK84" s="98"/>
    </row>
    <row r="85" spans="1:37" hidden="1" x14ac:dyDescent="0.25">
      <c r="A85" s="10" t="str">
        <f t="shared" si="31"/>
        <v/>
      </c>
      <c r="B85" s="50"/>
      <c r="C85" s="39"/>
      <c r="D85" s="40"/>
      <c r="E85" s="41"/>
      <c r="F85" s="42"/>
      <c r="G85" s="43"/>
      <c r="H85" s="2">
        <f t="shared" si="21"/>
        <v>0</v>
      </c>
      <c r="I85" s="42"/>
      <c r="J85" s="43"/>
      <c r="K85" s="2">
        <f t="shared" si="22"/>
        <v>0</v>
      </c>
      <c r="L85" s="42"/>
      <c r="M85" s="43"/>
      <c r="N85" s="2">
        <f t="shared" si="23"/>
        <v>0</v>
      </c>
      <c r="O85" s="42"/>
      <c r="P85" s="43"/>
      <c r="Q85" s="2">
        <f t="shared" si="24"/>
        <v>0</v>
      </c>
      <c r="R85" s="42"/>
      <c r="S85" s="43"/>
      <c r="T85" s="2">
        <f t="shared" si="25"/>
        <v>0</v>
      </c>
      <c r="U85" s="42"/>
      <c r="V85" s="43"/>
      <c r="W85" s="2">
        <f t="shared" si="26"/>
        <v>0</v>
      </c>
      <c r="X85" s="42"/>
      <c r="Y85" s="43"/>
      <c r="Z85" s="2">
        <f t="shared" si="27"/>
        <v>0</v>
      </c>
      <c r="AA85" s="42"/>
      <c r="AB85" s="43"/>
      <c r="AC85" s="2">
        <f t="shared" si="28"/>
        <v>0</v>
      </c>
      <c r="AD85" s="42"/>
      <c r="AE85" s="43"/>
      <c r="AF85" s="2">
        <f t="shared" si="29"/>
        <v>0</v>
      </c>
      <c r="AG85" s="42"/>
      <c r="AH85" s="43"/>
      <c r="AI85" s="2">
        <f t="shared" si="30"/>
        <v>0</v>
      </c>
      <c r="AJ85" s="97" t="str" cm="1">
        <f t="array" ref="AJ85">GETMENORVALOR(H85,K85,N85,Q85,T85,W85,Z85,AC85,AF85,AI85)</f>
        <v/>
      </c>
      <c r="AK85" s="98"/>
    </row>
    <row r="86" spans="1:37" hidden="1" x14ac:dyDescent="0.25">
      <c r="A86" s="10" t="str">
        <f t="shared" si="31"/>
        <v/>
      </c>
      <c r="B86" s="50"/>
      <c r="C86" s="39"/>
      <c r="D86" s="40"/>
      <c r="E86" s="41"/>
      <c r="F86" s="42"/>
      <c r="G86" s="43"/>
      <c r="H86" s="2">
        <f t="shared" si="21"/>
        <v>0</v>
      </c>
      <c r="I86" s="42"/>
      <c r="J86" s="43"/>
      <c r="K86" s="2">
        <f t="shared" si="22"/>
        <v>0</v>
      </c>
      <c r="L86" s="42"/>
      <c r="M86" s="43"/>
      <c r="N86" s="2">
        <f t="shared" si="23"/>
        <v>0</v>
      </c>
      <c r="O86" s="42"/>
      <c r="P86" s="43"/>
      <c r="Q86" s="2">
        <f t="shared" si="24"/>
        <v>0</v>
      </c>
      <c r="R86" s="42"/>
      <c r="S86" s="43"/>
      <c r="T86" s="2">
        <f t="shared" si="25"/>
        <v>0</v>
      </c>
      <c r="U86" s="42"/>
      <c r="V86" s="43"/>
      <c r="W86" s="2">
        <f t="shared" si="26"/>
        <v>0</v>
      </c>
      <c r="X86" s="42"/>
      <c r="Y86" s="43"/>
      <c r="Z86" s="2">
        <f t="shared" si="27"/>
        <v>0</v>
      </c>
      <c r="AA86" s="42"/>
      <c r="AB86" s="43"/>
      <c r="AC86" s="2">
        <f t="shared" si="28"/>
        <v>0</v>
      </c>
      <c r="AD86" s="42"/>
      <c r="AE86" s="43"/>
      <c r="AF86" s="2">
        <f t="shared" si="29"/>
        <v>0</v>
      </c>
      <c r="AG86" s="42"/>
      <c r="AH86" s="43"/>
      <c r="AI86" s="2">
        <f t="shared" si="30"/>
        <v>0</v>
      </c>
      <c r="AJ86" s="97" t="str" cm="1">
        <f t="array" ref="AJ86">GETMENORVALOR(H86,K86,N86,Q86,T86,W86,Z86,AC86,AF86,AI86)</f>
        <v/>
      </c>
      <c r="AK86" s="98"/>
    </row>
    <row r="87" spans="1:37" hidden="1" x14ac:dyDescent="0.25">
      <c r="A87" s="10" t="str">
        <f t="shared" si="31"/>
        <v/>
      </c>
      <c r="B87" s="50"/>
      <c r="C87" s="39"/>
      <c r="D87" s="40"/>
      <c r="E87" s="41"/>
      <c r="F87" s="42"/>
      <c r="G87" s="43"/>
      <c r="H87" s="2">
        <f t="shared" si="21"/>
        <v>0</v>
      </c>
      <c r="I87" s="42"/>
      <c r="J87" s="43"/>
      <c r="K87" s="2">
        <f t="shared" si="22"/>
        <v>0</v>
      </c>
      <c r="L87" s="42"/>
      <c r="M87" s="43"/>
      <c r="N87" s="2">
        <f t="shared" si="23"/>
        <v>0</v>
      </c>
      <c r="O87" s="42"/>
      <c r="P87" s="43"/>
      <c r="Q87" s="2">
        <f t="shared" si="24"/>
        <v>0</v>
      </c>
      <c r="R87" s="42"/>
      <c r="S87" s="43"/>
      <c r="T87" s="2">
        <f t="shared" si="25"/>
        <v>0</v>
      </c>
      <c r="U87" s="42"/>
      <c r="V87" s="43"/>
      <c r="W87" s="2">
        <f t="shared" si="26"/>
        <v>0</v>
      </c>
      <c r="X87" s="42"/>
      <c r="Y87" s="43"/>
      <c r="Z87" s="2">
        <f t="shared" si="27"/>
        <v>0</v>
      </c>
      <c r="AA87" s="42"/>
      <c r="AB87" s="43"/>
      <c r="AC87" s="2">
        <f t="shared" si="28"/>
        <v>0</v>
      </c>
      <c r="AD87" s="42"/>
      <c r="AE87" s="43"/>
      <c r="AF87" s="2">
        <f t="shared" si="29"/>
        <v>0</v>
      </c>
      <c r="AG87" s="42"/>
      <c r="AH87" s="43"/>
      <c r="AI87" s="2">
        <f t="shared" si="30"/>
        <v>0</v>
      </c>
      <c r="AJ87" s="97" t="str" cm="1">
        <f t="array" ref="AJ87">GETMENORVALOR(H87,K87,N87,Q87,T87,W87,Z87,AC87,AF87,AI87)</f>
        <v/>
      </c>
      <c r="AK87" s="98"/>
    </row>
    <row r="88" spans="1:37" hidden="1" x14ac:dyDescent="0.25">
      <c r="A88" s="10" t="str">
        <f t="shared" si="31"/>
        <v/>
      </c>
      <c r="B88" s="50"/>
      <c r="C88" s="39"/>
      <c r="D88" s="40"/>
      <c r="E88" s="41"/>
      <c r="F88" s="42"/>
      <c r="G88" s="43"/>
      <c r="H88" s="2">
        <f t="shared" si="21"/>
        <v>0</v>
      </c>
      <c r="I88" s="42"/>
      <c r="J88" s="43"/>
      <c r="K88" s="2">
        <f t="shared" si="22"/>
        <v>0</v>
      </c>
      <c r="L88" s="42"/>
      <c r="M88" s="43"/>
      <c r="N88" s="2">
        <f t="shared" si="23"/>
        <v>0</v>
      </c>
      <c r="O88" s="42"/>
      <c r="P88" s="43"/>
      <c r="Q88" s="2">
        <f t="shared" si="24"/>
        <v>0</v>
      </c>
      <c r="R88" s="42"/>
      <c r="S88" s="43"/>
      <c r="T88" s="2">
        <f t="shared" si="25"/>
        <v>0</v>
      </c>
      <c r="U88" s="42"/>
      <c r="V88" s="43"/>
      <c r="W88" s="2">
        <f t="shared" si="26"/>
        <v>0</v>
      </c>
      <c r="X88" s="42"/>
      <c r="Y88" s="43"/>
      <c r="Z88" s="2">
        <f t="shared" si="27"/>
        <v>0</v>
      </c>
      <c r="AA88" s="42"/>
      <c r="AB88" s="43"/>
      <c r="AC88" s="2">
        <f t="shared" si="28"/>
        <v>0</v>
      </c>
      <c r="AD88" s="42"/>
      <c r="AE88" s="43"/>
      <c r="AF88" s="2">
        <f t="shared" si="29"/>
        <v>0</v>
      </c>
      <c r="AG88" s="42"/>
      <c r="AH88" s="43"/>
      <c r="AI88" s="2">
        <f t="shared" si="30"/>
        <v>0</v>
      </c>
      <c r="AJ88" s="97" t="str" cm="1">
        <f t="array" ref="AJ88">GETMENORVALOR(H88,K88,N88,Q88,T88,W88,Z88,AC88,AF88,AI88)</f>
        <v/>
      </c>
      <c r="AK88" s="98"/>
    </row>
    <row r="89" spans="1:37" hidden="1" x14ac:dyDescent="0.25">
      <c r="A89" s="10" t="str">
        <f t="shared" si="31"/>
        <v/>
      </c>
      <c r="B89" s="50"/>
      <c r="C89" s="39"/>
      <c r="D89" s="40"/>
      <c r="E89" s="41"/>
      <c r="F89" s="42"/>
      <c r="G89" s="43"/>
      <c r="H89" s="2">
        <f t="shared" si="21"/>
        <v>0</v>
      </c>
      <c r="I89" s="42"/>
      <c r="J89" s="43"/>
      <c r="K89" s="2">
        <f t="shared" si="22"/>
        <v>0</v>
      </c>
      <c r="L89" s="42"/>
      <c r="M89" s="43"/>
      <c r="N89" s="2">
        <f t="shared" si="23"/>
        <v>0</v>
      </c>
      <c r="O89" s="42"/>
      <c r="P89" s="43"/>
      <c r="Q89" s="2">
        <f t="shared" si="24"/>
        <v>0</v>
      </c>
      <c r="R89" s="42"/>
      <c r="S89" s="43"/>
      <c r="T89" s="2">
        <f t="shared" si="25"/>
        <v>0</v>
      </c>
      <c r="U89" s="42"/>
      <c r="V89" s="43"/>
      <c r="W89" s="2">
        <f t="shared" si="26"/>
        <v>0</v>
      </c>
      <c r="X89" s="42"/>
      <c r="Y89" s="43"/>
      <c r="Z89" s="2">
        <f t="shared" si="27"/>
        <v>0</v>
      </c>
      <c r="AA89" s="42"/>
      <c r="AB89" s="43"/>
      <c r="AC89" s="2">
        <f t="shared" si="28"/>
        <v>0</v>
      </c>
      <c r="AD89" s="42"/>
      <c r="AE89" s="43"/>
      <c r="AF89" s="2">
        <f t="shared" si="29"/>
        <v>0</v>
      </c>
      <c r="AG89" s="42"/>
      <c r="AH89" s="43"/>
      <c r="AI89" s="2">
        <f t="shared" si="30"/>
        <v>0</v>
      </c>
      <c r="AJ89" s="97" t="str" cm="1">
        <f t="array" ref="AJ89">GETMENORVALOR(H89,K89,N89,Q89,T89,W89,Z89,AC89,AF89,AI89)</f>
        <v/>
      </c>
      <c r="AK89" s="98"/>
    </row>
    <row r="90" spans="1:37" hidden="1" x14ac:dyDescent="0.25">
      <c r="A90" s="10" t="str">
        <f t="shared" si="31"/>
        <v/>
      </c>
      <c r="B90" s="50"/>
      <c r="C90" s="39"/>
      <c r="D90" s="40"/>
      <c r="E90" s="41"/>
      <c r="F90" s="42"/>
      <c r="G90" s="43"/>
      <c r="H90" s="2">
        <f t="shared" si="21"/>
        <v>0</v>
      </c>
      <c r="I90" s="42"/>
      <c r="J90" s="43"/>
      <c r="K90" s="2">
        <f t="shared" si="22"/>
        <v>0</v>
      </c>
      <c r="L90" s="42"/>
      <c r="M90" s="43"/>
      <c r="N90" s="2">
        <f t="shared" si="23"/>
        <v>0</v>
      </c>
      <c r="O90" s="42"/>
      <c r="P90" s="43"/>
      <c r="Q90" s="2">
        <f t="shared" si="24"/>
        <v>0</v>
      </c>
      <c r="R90" s="42"/>
      <c r="S90" s="43"/>
      <c r="T90" s="2">
        <f t="shared" si="25"/>
        <v>0</v>
      </c>
      <c r="U90" s="42"/>
      <c r="V90" s="43"/>
      <c r="W90" s="2">
        <f t="shared" si="26"/>
        <v>0</v>
      </c>
      <c r="X90" s="42"/>
      <c r="Y90" s="43"/>
      <c r="Z90" s="2">
        <f t="shared" si="27"/>
        <v>0</v>
      </c>
      <c r="AA90" s="42"/>
      <c r="AB90" s="43"/>
      <c r="AC90" s="2">
        <f t="shared" si="28"/>
        <v>0</v>
      </c>
      <c r="AD90" s="42"/>
      <c r="AE90" s="43"/>
      <c r="AF90" s="2">
        <f t="shared" si="29"/>
        <v>0</v>
      </c>
      <c r="AG90" s="42"/>
      <c r="AH90" s="43"/>
      <c r="AI90" s="2">
        <f t="shared" si="30"/>
        <v>0</v>
      </c>
      <c r="AJ90" s="97" t="str" cm="1">
        <f t="array" ref="AJ90">GETMENORVALOR(H90,K90,N90,Q90,T90,W90,Z90,AC90,AF90,AI90)</f>
        <v/>
      </c>
      <c r="AK90" s="98"/>
    </row>
    <row r="91" spans="1:37" hidden="1" x14ac:dyDescent="0.25">
      <c r="A91" s="10" t="str">
        <f t="shared" si="31"/>
        <v/>
      </c>
      <c r="B91" s="50"/>
      <c r="C91" s="39"/>
      <c r="D91" s="40"/>
      <c r="E91" s="41"/>
      <c r="F91" s="42"/>
      <c r="G91" s="43"/>
      <c r="H91" s="2">
        <f t="shared" si="21"/>
        <v>0</v>
      </c>
      <c r="I91" s="42"/>
      <c r="J91" s="43"/>
      <c r="K91" s="2">
        <f t="shared" si="22"/>
        <v>0</v>
      </c>
      <c r="L91" s="42"/>
      <c r="M91" s="43"/>
      <c r="N91" s="2">
        <f t="shared" si="23"/>
        <v>0</v>
      </c>
      <c r="O91" s="42"/>
      <c r="P91" s="43"/>
      <c r="Q91" s="2">
        <f t="shared" si="24"/>
        <v>0</v>
      </c>
      <c r="R91" s="42"/>
      <c r="S91" s="43"/>
      <c r="T91" s="2">
        <f t="shared" si="25"/>
        <v>0</v>
      </c>
      <c r="U91" s="42"/>
      <c r="V91" s="43"/>
      <c r="W91" s="2">
        <f t="shared" si="26"/>
        <v>0</v>
      </c>
      <c r="X91" s="42"/>
      <c r="Y91" s="43"/>
      <c r="Z91" s="2">
        <f t="shared" si="27"/>
        <v>0</v>
      </c>
      <c r="AA91" s="42"/>
      <c r="AB91" s="43"/>
      <c r="AC91" s="2">
        <f t="shared" si="28"/>
        <v>0</v>
      </c>
      <c r="AD91" s="42"/>
      <c r="AE91" s="43"/>
      <c r="AF91" s="2">
        <f t="shared" si="29"/>
        <v>0</v>
      </c>
      <c r="AG91" s="42"/>
      <c r="AH91" s="43"/>
      <c r="AI91" s="2">
        <f t="shared" si="30"/>
        <v>0</v>
      </c>
      <c r="AJ91" s="97" t="str" cm="1">
        <f t="array" ref="AJ91">GETMENORVALOR(H91,K91,N91,Q91,T91,W91,Z91,AC91,AF91,AI91)</f>
        <v/>
      </c>
      <c r="AK91" s="98"/>
    </row>
    <row r="92" spans="1:37" hidden="1" x14ac:dyDescent="0.25">
      <c r="A92" s="10" t="str">
        <f t="shared" si="31"/>
        <v/>
      </c>
      <c r="B92" s="50"/>
      <c r="C92" s="39"/>
      <c r="D92" s="40"/>
      <c r="E92" s="41"/>
      <c r="F92" s="42"/>
      <c r="G92" s="43"/>
      <c r="H92" s="2">
        <f t="shared" si="21"/>
        <v>0</v>
      </c>
      <c r="I92" s="42"/>
      <c r="J92" s="43"/>
      <c r="K92" s="2">
        <f t="shared" si="22"/>
        <v>0</v>
      </c>
      <c r="L92" s="42"/>
      <c r="M92" s="43"/>
      <c r="N92" s="2">
        <f t="shared" si="23"/>
        <v>0</v>
      </c>
      <c r="O92" s="42"/>
      <c r="P92" s="43"/>
      <c r="Q92" s="2">
        <f t="shared" si="24"/>
        <v>0</v>
      </c>
      <c r="R92" s="42"/>
      <c r="S92" s="43"/>
      <c r="T92" s="2">
        <f t="shared" si="25"/>
        <v>0</v>
      </c>
      <c r="U92" s="42"/>
      <c r="V92" s="43"/>
      <c r="W92" s="2">
        <f t="shared" si="26"/>
        <v>0</v>
      </c>
      <c r="X92" s="42"/>
      <c r="Y92" s="43"/>
      <c r="Z92" s="2">
        <f t="shared" si="27"/>
        <v>0</v>
      </c>
      <c r="AA92" s="42"/>
      <c r="AB92" s="43"/>
      <c r="AC92" s="2">
        <f t="shared" si="28"/>
        <v>0</v>
      </c>
      <c r="AD92" s="42"/>
      <c r="AE92" s="43"/>
      <c r="AF92" s="2">
        <f t="shared" si="29"/>
        <v>0</v>
      </c>
      <c r="AG92" s="42"/>
      <c r="AH92" s="43"/>
      <c r="AI92" s="2">
        <f t="shared" si="30"/>
        <v>0</v>
      </c>
      <c r="AJ92" s="97" t="str" cm="1">
        <f t="array" ref="AJ92">GETMENORVALOR(H92,K92,N92,Q92,T92,W92,Z92,AC92,AF92,AI92)</f>
        <v/>
      </c>
      <c r="AK92" s="98"/>
    </row>
    <row r="93" spans="1:37" hidden="1" x14ac:dyDescent="0.25">
      <c r="A93" s="10" t="str">
        <f t="shared" si="31"/>
        <v/>
      </c>
      <c r="B93" s="50"/>
      <c r="C93" s="39"/>
      <c r="D93" s="40"/>
      <c r="E93" s="41"/>
      <c r="F93" s="42"/>
      <c r="G93" s="43"/>
      <c r="H93" s="2">
        <f t="shared" si="21"/>
        <v>0</v>
      </c>
      <c r="I93" s="42"/>
      <c r="J93" s="43"/>
      <c r="K93" s="2">
        <f t="shared" si="22"/>
        <v>0</v>
      </c>
      <c r="L93" s="42"/>
      <c r="M93" s="43"/>
      <c r="N93" s="2">
        <f t="shared" si="23"/>
        <v>0</v>
      </c>
      <c r="O93" s="42"/>
      <c r="P93" s="43"/>
      <c r="Q93" s="2">
        <f t="shared" si="24"/>
        <v>0</v>
      </c>
      <c r="R93" s="42"/>
      <c r="S93" s="43"/>
      <c r="T93" s="2">
        <f t="shared" si="25"/>
        <v>0</v>
      </c>
      <c r="U93" s="42"/>
      <c r="V93" s="43"/>
      <c r="W93" s="2">
        <f t="shared" si="26"/>
        <v>0</v>
      </c>
      <c r="X93" s="42"/>
      <c r="Y93" s="43"/>
      <c r="Z93" s="2">
        <f t="shared" si="27"/>
        <v>0</v>
      </c>
      <c r="AA93" s="42"/>
      <c r="AB93" s="43"/>
      <c r="AC93" s="2">
        <f t="shared" si="28"/>
        <v>0</v>
      </c>
      <c r="AD93" s="42"/>
      <c r="AE93" s="43"/>
      <c r="AF93" s="2">
        <f t="shared" si="29"/>
        <v>0</v>
      </c>
      <c r="AG93" s="42"/>
      <c r="AH93" s="43"/>
      <c r="AI93" s="2">
        <f t="shared" si="30"/>
        <v>0</v>
      </c>
      <c r="AJ93" s="97" t="str" cm="1">
        <f t="array" ref="AJ93">GETMENORVALOR(H93,K93,N93,Q93,T93,W93,Z93,AC93,AF93,AI93)</f>
        <v/>
      </c>
      <c r="AK93" s="98"/>
    </row>
    <row r="94" spans="1:37" hidden="1" x14ac:dyDescent="0.25">
      <c r="A94" s="10" t="str">
        <f t="shared" si="31"/>
        <v/>
      </c>
      <c r="B94" s="50"/>
      <c r="C94" s="39"/>
      <c r="D94" s="40"/>
      <c r="E94" s="41"/>
      <c r="F94" s="42"/>
      <c r="G94" s="43"/>
      <c r="H94" s="2">
        <f t="shared" si="21"/>
        <v>0</v>
      </c>
      <c r="I94" s="42"/>
      <c r="J94" s="43"/>
      <c r="K94" s="2">
        <f t="shared" si="22"/>
        <v>0</v>
      </c>
      <c r="L94" s="42"/>
      <c r="M94" s="43"/>
      <c r="N94" s="2">
        <f t="shared" si="23"/>
        <v>0</v>
      </c>
      <c r="O94" s="42"/>
      <c r="P94" s="43"/>
      <c r="Q94" s="2">
        <f t="shared" si="24"/>
        <v>0</v>
      </c>
      <c r="R94" s="42"/>
      <c r="S94" s="43"/>
      <c r="T94" s="2">
        <f t="shared" si="25"/>
        <v>0</v>
      </c>
      <c r="U94" s="42"/>
      <c r="V94" s="43"/>
      <c r="W94" s="2">
        <f t="shared" si="26"/>
        <v>0</v>
      </c>
      <c r="X94" s="42"/>
      <c r="Y94" s="43"/>
      <c r="Z94" s="2">
        <f t="shared" si="27"/>
        <v>0</v>
      </c>
      <c r="AA94" s="42"/>
      <c r="AB94" s="43"/>
      <c r="AC94" s="2">
        <f t="shared" si="28"/>
        <v>0</v>
      </c>
      <c r="AD94" s="42"/>
      <c r="AE94" s="43"/>
      <c r="AF94" s="2">
        <f t="shared" si="29"/>
        <v>0</v>
      </c>
      <c r="AG94" s="42"/>
      <c r="AH94" s="43"/>
      <c r="AI94" s="2">
        <f t="shared" si="30"/>
        <v>0</v>
      </c>
      <c r="AJ94" s="97" t="str" cm="1">
        <f t="array" ref="AJ94">GETMENORVALOR(H94,K94,N94,Q94,T94,W94,Z94,AC94,AF94,AI94)</f>
        <v/>
      </c>
      <c r="AK94" s="98"/>
    </row>
    <row r="95" spans="1:37" hidden="1" x14ac:dyDescent="0.25">
      <c r="A95" s="10" t="str">
        <f t="shared" si="31"/>
        <v/>
      </c>
      <c r="B95" s="50"/>
      <c r="C95" s="39"/>
      <c r="D95" s="40"/>
      <c r="E95" s="41"/>
      <c r="F95" s="42"/>
      <c r="G95" s="43"/>
      <c r="H95" s="2">
        <f t="shared" si="21"/>
        <v>0</v>
      </c>
      <c r="I95" s="42"/>
      <c r="J95" s="43"/>
      <c r="K95" s="2">
        <f t="shared" si="22"/>
        <v>0</v>
      </c>
      <c r="L95" s="42"/>
      <c r="M95" s="43"/>
      <c r="N95" s="2">
        <f t="shared" si="23"/>
        <v>0</v>
      </c>
      <c r="O95" s="42"/>
      <c r="P95" s="43"/>
      <c r="Q95" s="2">
        <f t="shared" si="24"/>
        <v>0</v>
      </c>
      <c r="R95" s="42"/>
      <c r="S95" s="43"/>
      <c r="T95" s="2">
        <f t="shared" si="25"/>
        <v>0</v>
      </c>
      <c r="U95" s="42"/>
      <c r="V95" s="43"/>
      <c r="W95" s="2">
        <f t="shared" si="26"/>
        <v>0</v>
      </c>
      <c r="X95" s="42"/>
      <c r="Y95" s="43"/>
      <c r="Z95" s="2">
        <f t="shared" si="27"/>
        <v>0</v>
      </c>
      <c r="AA95" s="42"/>
      <c r="AB95" s="43"/>
      <c r="AC95" s="2">
        <f t="shared" si="28"/>
        <v>0</v>
      </c>
      <c r="AD95" s="42"/>
      <c r="AE95" s="43"/>
      <c r="AF95" s="2">
        <f t="shared" si="29"/>
        <v>0</v>
      </c>
      <c r="AG95" s="42"/>
      <c r="AH95" s="43"/>
      <c r="AI95" s="2">
        <f t="shared" si="30"/>
        <v>0</v>
      </c>
      <c r="AJ95" s="97" t="str" cm="1">
        <f t="array" ref="AJ95">GETMENORVALOR(H95,K95,N95,Q95,T95,W95,Z95,AC95,AF95,AI95)</f>
        <v/>
      </c>
      <c r="AK95" s="98"/>
    </row>
    <row r="96" spans="1:37" hidden="1" x14ac:dyDescent="0.25">
      <c r="A96" s="10" t="str">
        <f t="shared" si="31"/>
        <v/>
      </c>
      <c r="B96" s="50"/>
      <c r="C96" s="39"/>
      <c r="D96" s="40"/>
      <c r="E96" s="41"/>
      <c r="F96" s="42"/>
      <c r="G96" s="43"/>
      <c r="H96" s="2">
        <f t="shared" si="21"/>
        <v>0</v>
      </c>
      <c r="I96" s="42"/>
      <c r="J96" s="43"/>
      <c r="K96" s="2">
        <f t="shared" si="22"/>
        <v>0</v>
      </c>
      <c r="L96" s="42"/>
      <c r="M96" s="43"/>
      <c r="N96" s="2">
        <f t="shared" si="23"/>
        <v>0</v>
      </c>
      <c r="O96" s="42"/>
      <c r="P96" s="43"/>
      <c r="Q96" s="2">
        <f t="shared" si="24"/>
        <v>0</v>
      </c>
      <c r="R96" s="42"/>
      <c r="S96" s="43"/>
      <c r="T96" s="2">
        <f t="shared" si="25"/>
        <v>0</v>
      </c>
      <c r="U96" s="42"/>
      <c r="V96" s="43"/>
      <c r="W96" s="2">
        <f t="shared" si="26"/>
        <v>0</v>
      </c>
      <c r="X96" s="42"/>
      <c r="Y96" s="43"/>
      <c r="Z96" s="2">
        <f t="shared" si="27"/>
        <v>0</v>
      </c>
      <c r="AA96" s="42"/>
      <c r="AB96" s="43"/>
      <c r="AC96" s="2">
        <f t="shared" si="28"/>
        <v>0</v>
      </c>
      <c r="AD96" s="42"/>
      <c r="AE96" s="43"/>
      <c r="AF96" s="2">
        <f t="shared" si="29"/>
        <v>0</v>
      </c>
      <c r="AG96" s="42"/>
      <c r="AH96" s="43"/>
      <c r="AI96" s="2">
        <f t="shared" si="30"/>
        <v>0</v>
      </c>
      <c r="AJ96" s="97" t="str" cm="1">
        <f t="array" ref="AJ96">GETMENORVALOR(H96,K96,N96,Q96,T96,W96,Z96,AC96,AF96,AI96)</f>
        <v/>
      </c>
      <c r="AK96" s="98"/>
    </row>
    <row r="97" spans="1:37" hidden="1" x14ac:dyDescent="0.25">
      <c r="A97" s="10" t="str">
        <f t="shared" si="31"/>
        <v/>
      </c>
      <c r="B97" s="50"/>
      <c r="C97" s="39"/>
      <c r="D97" s="40"/>
      <c r="E97" s="41"/>
      <c r="F97" s="42"/>
      <c r="G97" s="43"/>
      <c r="H97" s="2">
        <f t="shared" si="21"/>
        <v>0</v>
      </c>
      <c r="I97" s="42"/>
      <c r="J97" s="43"/>
      <c r="K97" s="2">
        <f t="shared" si="22"/>
        <v>0</v>
      </c>
      <c r="L97" s="42"/>
      <c r="M97" s="43"/>
      <c r="N97" s="2">
        <f t="shared" si="23"/>
        <v>0</v>
      </c>
      <c r="O97" s="42"/>
      <c r="P97" s="43"/>
      <c r="Q97" s="2">
        <f t="shared" si="24"/>
        <v>0</v>
      </c>
      <c r="R97" s="42"/>
      <c r="S97" s="43"/>
      <c r="T97" s="2">
        <f t="shared" si="25"/>
        <v>0</v>
      </c>
      <c r="U97" s="42"/>
      <c r="V97" s="43"/>
      <c r="W97" s="2">
        <f t="shared" si="26"/>
        <v>0</v>
      </c>
      <c r="X97" s="42"/>
      <c r="Y97" s="43"/>
      <c r="Z97" s="2">
        <f t="shared" si="27"/>
        <v>0</v>
      </c>
      <c r="AA97" s="42"/>
      <c r="AB97" s="43"/>
      <c r="AC97" s="2">
        <f t="shared" si="28"/>
        <v>0</v>
      </c>
      <c r="AD97" s="42"/>
      <c r="AE97" s="43"/>
      <c r="AF97" s="2">
        <f t="shared" si="29"/>
        <v>0</v>
      </c>
      <c r="AG97" s="42"/>
      <c r="AH97" s="43"/>
      <c r="AI97" s="2">
        <f t="shared" si="30"/>
        <v>0</v>
      </c>
      <c r="AJ97" s="97" t="str" cm="1">
        <f t="array" ref="AJ97">GETMENORVALOR(H97,K97,N97,Q97,T97,W97,Z97,AC97,AF97,AI97)</f>
        <v/>
      </c>
      <c r="AK97" s="98"/>
    </row>
    <row r="98" spans="1:37" hidden="1" x14ac:dyDescent="0.25">
      <c r="A98" s="10" t="str">
        <f t="shared" si="31"/>
        <v/>
      </c>
      <c r="B98" s="50"/>
      <c r="C98" s="39"/>
      <c r="D98" s="40"/>
      <c r="E98" s="41"/>
      <c r="F98" s="42"/>
      <c r="G98" s="43"/>
      <c r="H98" s="2">
        <f t="shared" si="21"/>
        <v>0</v>
      </c>
      <c r="I98" s="42"/>
      <c r="J98" s="43"/>
      <c r="K98" s="2">
        <f t="shared" si="22"/>
        <v>0</v>
      </c>
      <c r="L98" s="42"/>
      <c r="M98" s="43"/>
      <c r="N98" s="2">
        <f t="shared" si="23"/>
        <v>0</v>
      </c>
      <c r="O98" s="42"/>
      <c r="P98" s="43"/>
      <c r="Q98" s="2">
        <f t="shared" si="24"/>
        <v>0</v>
      </c>
      <c r="R98" s="42"/>
      <c r="S98" s="43"/>
      <c r="T98" s="2">
        <f t="shared" si="25"/>
        <v>0</v>
      </c>
      <c r="U98" s="42"/>
      <c r="V98" s="43"/>
      <c r="W98" s="2">
        <f t="shared" si="26"/>
        <v>0</v>
      </c>
      <c r="X98" s="42"/>
      <c r="Y98" s="43"/>
      <c r="Z98" s="2">
        <f t="shared" si="27"/>
        <v>0</v>
      </c>
      <c r="AA98" s="42"/>
      <c r="AB98" s="43"/>
      <c r="AC98" s="2">
        <f t="shared" si="28"/>
        <v>0</v>
      </c>
      <c r="AD98" s="42"/>
      <c r="AE98" s="43"/>
      <c r="AF98" s="2">
        <f t="shared" si="29"/>
        <v>0</v>
      </c>
      <c r="AG98" s="42"/>
      <c r="AH98" s="43"/>
      <c r="AI98" s="2">
        <f t="shared" si="30"/>
        <v>0</v>
      </c>
      <c r="AJ98" s="97" t="str" cm="1">
        <f t="array" ref="AJ98">GETMENORVALOR(H98,K98,N98,Q98,T98,W98,Z98,AC98,AF98,AI98)</f>
        <v/>
      </c>
      <c r="AK98" s="98"/>
    </row>
    <row r="99" spans="1:37" hidden="1" x14ac:dyDescent="0.25">
      <c r="A99" s="10" t="str">
        <f t="shared" si="31"/>
        <v/>
      </c>
      <c r="B99" s="50"/>
      <c r="C99" s="39"/>
      <c r="D99" s="40"/>
      <c r="E99" s="41"/>
      <c r="F99" s="42"/>
      <c r="G99" s="43"/>
      <c r="H99" s="2">
        <f t="shared" si="21"/>
        <v>0</v>
      </c>
      <c r="I99" s="42"/>
      <c r="J99" s="43"/>
      <c r="K99" s="2">
        <f t="shared" si="22"/>
        <v>0</v>
      </c>
      <c r="L99" s="42"/>
      <c r="M99" s="43"/>
      <c r="N99" s="2">
        <f t="shared" si="23"/>
        <v>0</v>
      </c>
      <c r="O99" s="42"/>
      <c r="P99" s="43"/>
      <c r="Q99" s="2">
        <f t="shared" si="24"/>
        <v>0</v>
      </c>
      <c r="R99" s="42"/>
      <c r="S99" s="43"/>
      <c r="T99" s="2">
        <f t="shared" si="25"/>
        <v>0</v>
      </c>
      <c r="U99" s="42"/>
      <c r="V99" s="43"/>
      <c r="W99" s="2">
        <f t="shared" si="26"/>
        <v>0</v>
      </c>
      <c r="X99" s="42"/>
      <c r="Y99" s="43"/>
      <c r="Z99" s="2">
        <f t="shared" si="27"/>
        <v>0</v>
      </c>
      <c r="AA99" s="42"/>
      <c r="AB99" s="43"/>
      <c r="AC99" s="2">
        <f t="shared" si="28"/>
        <v>0</v>
      </c>
      <c r="AD99" s="42"/>
      <c r="AE99" s="43"/>
      <c r="AF99" s="2">
        <f t="shared" si="29"/>
        <v>0</v>
      </c>
      <c r="AG99" s="42"/>
      <c r="AH99" s="43"/>
      <c r="AI99" s="2">
        <f t="shared" si="30"/>
        <v>0</v>
      </c>
      <c r="AJ99" s="97" t="str" cm="1">
        <f t="array" ref="AJ99">GETMENORVALOR(H99,K99,N99,Q99,T99,W99,Z99,AC99,AF99,AI99)</f>
        <v/>
      </c>
      <c r="AK99" s="98"/>
    </row>
    <row r="100" spans="1:37" hidden="1" x14ac:dyDescent="0.25">
      <c r="A100" s="10" t="str">
        <f t="shared" si="31"/>
        <v/>
      </c>
      <c r="B100" s="50"/>
      <c r="C100" s="39"/>
      <c r="D100" s="40"/>
      <c r="E100" s="41"/>
      <c r="F100" s="42"/>
      <c r="G100" s="43"/>
      <c r="H100" s="2">
        <f t="shared" si="21"/>
        <v>0</v>
      </c>
      <c r="I100" s="42"/>
      <c r="J100" s="43"/>
      <c r="K100" s="2">
        <f t="shared" si="22"/>
        <v>0</v>
      </c>
      <c r="L100" s="42"/>
      <c r="M100" s="43"/>
      <c r="N100" s="2">
        <f t="shared" si="23"/>
        <v>0</v>
      </c>
      <c r="O100" s="42"/>
      <c r="P100" s="43"/>
      <c r="Q100" s="2">
        <f t="shared" si="24"/>
        <v>0</v>
      </c>
      <c r="R100" s="42"/>
      <c r="S100" s="43"/>
      <c r="T100" s="2">
        <f t="shared" si="25"/>
        <v>0</v>
      </c>
      <c r="U100" s="42"/>
      <c r="V100" s="43"/>
      <c r="W100" s="2">
        <f t="shared" si="26"/>
        <v>0</v>
      </c>
      <c r="X100" s="42"/>
      <c r="Y100" s="43"/>
      <c r="Z100" s="2">
        <f t="shared" si="27"/>
        <v>0</v>
      </c>
      <c r="AA100" s="42"/>
      <c r="AB100" s="43"/>
      <c r="AC100" s="2">
        <f t="shared" si="28"/>
        <v>0</v>
      </c>
      <c r="AD100" s="42"/>
      <c r="AE100" s="43"/>
      <c r="AF100" s="2">
        <f t="shared" si="29"/>
        <v>0</v>
      </c>
      <c r="AG100" s="42"/>
      <c r="AH100" s="43"/>
      <c r="AI100" s="2">
        <f t="shared" si="30"/>
        <v>0</v>
      </c>
      <c r="AJ100" s="97" t="str" cm="1">
        <f t="array" ref="AJ100">GETMENORVALOR(H100,K100,N100,Q100,T100,W100,Z100,AC100,AF100,AI100)</f>
        <v/>
      </c>
      <c r="AK100" s="98"/>
    </row>
    <row r="101" spans="1:37" hidden="1" x14ac:dyDescent="0.25">
      <c r="A101" s="10" t="str">
        <f t="shared" si="31"/>
        <v/>
      </c>
      <c r="B101" s="50"/>
      <c r="C101" s="39"/>
      <c r="D101" s="40"/>
      <c r="E101" s="41"/>
      <c r="F101" s="42"/>
      <c r="G101" s="43"/>
      <c r="H101" s="2">
        <f t="shared" si="21"/>
        <v>0</v>
      </c>
      <c r="I101" s="42"/>
      <c r="J101" s="43"/>
      <c r="K101" s="2">
        <f t="shared" si="22"/>
        <v>0</v>
      </c>
      <c r="L101" s="42"/>
      <c r="M101" s="43"/>
      <c r="N101" s="2">
        <f t="shared" si="23"/>
        <v>0</v>
      </c>
      <c r="O101" s="42"/>
      <c r="P101" s="43"/>
      <c r="Q101" s="2">
        <f t="shared" si="24"/>
        <v>0</v>
      </c>
      <c r="R101" s="42"/>
      <c r="S101" s="43"/>
      <c r="T101" s="2">
        <f t="shared" si="25"/>
        <v>0</v>
      </c>
      <c r="U101" s="42"/>
      <c r="V101" s="43"/>
      <c r="W101" s="2">
        <f t="shared" si="26"/>
        <v>0</v>
      </c>
      <c r="X101" s="42"/>
      <c r="Y101" s="43"/>
      <c r="Z101" s="2">
        <f t="shared" si="27"/>
        <v>0</v>
      </c>
      <c r="AA101" s="42"/>
      <c r="AB101" s="43"/>
      <c r="AC101" s="2">
        <f t="shared" si="28"/>
        <v>0</v>
      </c>
      <c r="AD101" s="42"/>
      <c r="AE101" s="43"/>
      <c r="AF101" s="2">
        <f t="shared" si="29"/>
        <v>0</v>
      </c>
      <c r="AG101" s="42"/>
      <c r="AH101" s="43"/>
      <c r="AI101" s="2">
        <f t="shared" si="30"/>
        <v>0</v>
      </c>
      <c r="AJ101" s="97" t="str" cm="1">
        <f t="array" ref="AJ101">GETMENORVALOR(H101,K101,N101,Q101,T101,W101,Z101,AC101,AF101,AI101)</f>
        <v/>
      </c>
      <c r="AK101" s="98"/>
    </row>
    <row r="102" spans="1:37" hidden="1" x14ac:dyDescent="0.25">
      <c r="A102" s="10" t="str">
        <f t="shared" si="31"/>
        <v/>
      </c>
      <c r="B102" s="50"/>
      <c r="C102" s="39"/>
      <c r="D102" s="40"/>
      <c r="E102" s="41"/>
      <c r="F102" s="42"/>
      <c r="G102" s="43"/>
      <c r="H102" s="2">
        <f t="shared" si="21"/>
        <v>0</v>
      </c>
      <c r="I102" s="42"/>
      <c r="J102" s="43"/>
      <c r="K102" s="2">
        <f t="shared" si="22"/>
        <v>0</v>
      </c>
      <c r="L102" s="42"/>
      <c r="M102" s="43"/>
      <c r="N102" s="2">
        <f t="shared" si="23"/>
        <v>0</v>
      </c>
      <c r="O102" s="42"/>
      <c r="P102" s="43"/>
      <c r="Q102" s="2">
        <f t="shared" si="24"/>
        <v>0</v>
      </c>
      <c r="R102" s="42"/>
      <c r="S102" s="43"/>
      <c r="T102" s="2">
        <f t="shared" si="25"/>
        <v>0</v>
      </c>
      <c r="U102" s="42"/>
      <c r="V102" s="43"/>
      <c r="W102" s="2">
        <f t="shared" si="26"/>
        <v>0</v>
      </c>
      <c r="X102" s="42"/>
      <c r="Y102" s="43"/>
      <c r="Z102" s="2">
        <f t="shared" si="27"/>
        <v>0</v>
      </c>
      <c r="AA102" s="42"/>
      <c r="AB102" s="43"/>
      <c r="AC102" s="2">
        <f t="shared" si="28"/>
        <v>0</v>
      </c>
      <c r="AD102" s="42"/>
      <c r="AE102" s="43"/>
      <c r="AF102" s="2">
        <f t="shared" si="29"/>
        <v>0</v>
      </c>
      <c r="AG102" s="42"/>
      <c r="AH102" s="43"/>
      <c r="AI102" s="2">
        <f t="shared" si="30"/>
        <v>0</v>
      </c>
      <c r="AJ102" s="97" t="str" cm="1">
        <f t="array" ref="AJ102">GETMENORVALOR(H102,K102,N102,Q102,T102,W102,Z102,AC102,AF102,AI102)</f>
        <v/>
      </c>
      <c r="AK102" s="98"/>
    </row>
    <row r="103" spans="1:37" hidden="1" x14ac:dyDescent="0.25">
      <c r="A103" s="10" t="str">
        <f t="shared" si="31"/>
        <v/>
      </c>
      <c r="B103" s="50"/>
      <c r="C103" s="39"/>
      <c r="D103" s="40"/>
      <c r="E103" s="41"/>
      <c r="F103" s="42"/>
      <c r="G103" s="43"/>
      <c r="H103" s="2">
        <f t="shared" si="21"/>
        <v>0</v>
      </c>
      <c r="I103" s="42"/>
      <c r="J103" s="43"/>
      <c r="K103" s="2">
        <f t="shared" si="22"/>
        <v>0</v>
      </c>
      <c r="L103" s="42"/>
      <c r="M103" s="43"/>
      <c r="N103" s="2">
        <f t="shared" si="23"/>
        <v>0</v>
      </c>
      <c r="O103" s="42"/>
      <c r="P103" s="43"/>
      <c r="Q103" s="2">
        <f t="shared" si="24"/>
        <v>0</v>
      </c>
      <c r="R103" s="42"/>
      <c r="S103" s="43"/>
      <c r="T103" s="2">
        <f t="shared" si="25"/>
        <v>0</v>
      </c>
      <c r="U103" s="42"/>
      <c r="V103" s="43"/>
      <c r="W103" s="2">
        <f t="shared" si="26"/>
        <v>0</v>
      </c>
      <c r="X103" s="42"/>
      <c r="Y103" s="43"/>
      <c r="Z103" s="2">
        <f t="shared" si="27"/>
        <v>0</v>
      </c>
      <c r="AA103" s="42"/>
      <c r="AB103" s="43"/>
      <c r="AC103" s="2">
        <f t="shared" si="28"/>
        <v>0</v>
      </c>
      <c r="AD103" s="42"/>
      <c r="AE103" s="43"/>
      <c r="AF103" s="2">
        <f t="shared" si="29"/>
        <v>0</v>
      </c>
      <c r="AG103" s="42"/>
      <c r="AH103" s="43"/>
      <c r="AI103" s="2">
        <f t="shared" si="30"/>
        <v>0</v>
      </c>
      <c r="AJ103" s="97" t="str" cm="1">
        <f t="array" ref="AJ103">GETMENORVALOR(H103,K103,N103,Q103,T103,W103,Z103,AC103,AF103,AI103)</f>
        <v/>
      </c>
      <c r="AK103" s="98"/>
    </row>
    <row r="104" spans="1:37" hidden="1" x14ac:dyDescent="0.25">
      <c r="A104" s="10" t="str">
        <f t="shared" si="31"/>
        <v/>
      </c>
      <c r="B104" s="50"/>
      <c r="C104" s="39"/>
      <c r="D104" s="40"/>
      <c r="E104" s="41"/>
      <c r="F104" s="42"/>
      <c r="G104" s="43"/>
      <c r="H104" s="2">
        <f t="shared" si="21"/>
        <v>0</v>
      </c>
      <c r="I104" s="42"/>
      <c r="J104" s="43"/>
      <c r="K104" s="2">
        <f t="shared" si="22"/>
        <v>0</v>
      </c>
      <c r="L104" s="42"/>
      <c r="M104" s="43"/>
      <c r="N104" s="2">
        <f t="shared" si="23"/>
        <v>0</v>
      </c>
      <c r="O104" s="42"/>
      <c r="P104" s="43"/>
      <c r="Q104" s="2">
        <f t="shared" si="24"/>
        <v>0</v>
      </c>
      <c r="R104" s="42"/>
      <c r="S104" s="43"/>
      <c r="T104" s="2">
        <f t="shared" si="25"/>
        <v>0</v>
      </c>
      <c r="U104" s="42"/>
      <c r="V104" s="43"/>
      <c r="W104" s="2">
        <f t="shared" si="26"/>
        <v>0</v>
      </c>
      <c r="X104" s="42"/>
      <c r="Y104" s="43"/>
      <c r="Z104" s="2">
        <f t="shared" si="27"/>
        <v>0</v>
      </c>
      <c r="AA104" s="42"/>
      <c r="AB104" s="43"/>
      <c r="AC104" s="2">
        <f t="shared" si="28"/>
        <v>0</v>
      </c>
      <c r="AD104" s="42"/>
      <c r="AE104" s="43"/>
      <c r="AF104" s="2">
        <f t="shared" si="29"/>
        <v>0</v>
      </c>
      <c r="AG104" s="42"/>
      <c r="AH104" s="43"/>
      <c r="AI104" s="2">
        <f t="shared" si="30"/>
        <v>0</v>
      </c>
      <c r="AJ104" s="97" t="str" cm="1">
        <f t="array" ref="AJ104">GETMENORVALOR(H104,K104,N104,Q104,T104,W104,Z104,AC104,AF104,AI104)</f>
        <v/>
      </c>
      <c r="AK104" s="98"/>
    </row>
    <row r="105" spans="1:37" hidden="1" x14ac:dyDescent="0.25">
      <c r="A105" s="10" t="str">
        <f t="shared" si="31"/>
        <v/>
      </c>
      <c r="B105" s="50"/>
      <c r="C105" s="39"/>
      <c r="D105" s="40"/>
      <c r="E105" s="41"/>
      <c r="F105" s="42"/>
      <c r="G105" s="43"/>
      <c r="H105" s="2">
        <f t="shared" si="21"/>
        <v>0</v>
      </c>
      <c r="I105" s="42"/>
      <c r="J105" s="43"/>
      <c r="K105" s="2">
        <f t="shared" si="22"/>
        <v>0</v>
      </c>
      <c r="L105" s="42"/>
      <c r="M105" s="43"/>
      <c r="N105" s="2">
        <f t="shared" si="23"/>
        <v>0</v>
      </c>
      <c r="O105" s="42"/>
      <c r="P105" s="43"/>
      <c r="Q105" s="2">
        <f t="shared" si="24"/>
        <v>0</v>
      </c>
      <c r="R105" s="42"/>
      <c r="S105" s="43"/>
      <c r="T105" s="2">
        <f t="shared" si="25"/>
        <v>0</v>
      </c>
      <c r="U105" s="42"/>
      <c r="V105" s="43"/>
      <c r="W105" s="2">
        <f t="shared" si="26"/>
        <v>0</v>
      </c>
      <c r="X105" s="42"/>
      <c r="Y105" s="43"/>
      <c r="Z105" s="2">
        <f t="shared" si="27"/>
        <v>0</v>
      </c>
      <c r="AA105" s="42"/>
      <c r="AB105" s="43"/>
      <c r="AC105" s="2">
        <f t="shared" si="28"/>
        <v>0</v>
      </c>
      <c r="AD105" s="42"/>
      <c r="AE105" s="43"/>
      <c r="AF105" s="2">
        <f t="shared" si="29"/>
        <v>0</v>
      </c>
      <c r="AG105" s="42"/>
      <c r="AH105" s="43"/>
      <c r="AI105" s="2">
        <f t="shared" si="30"/>
        <v>0</v>
      </c>
      <c r="AJ105" s="97" t="str" cm="1">
        <f t="array" ref="AJ105">GETMENORVALOR(H105,K105,N105,Q105,T105,W105,Z105,AC105,AF105,AI105)</f>
        <v/>
      </c>
      <c r="AK105" s="98"/>
    </row>
    <row r="106" spans="1:37" hidden="1" x14ac:dyDescent="0.25">
      <c r="A106" s="10" t="str">
        <f t="shared" si="31"/>
        <v/>
      </c>
      <c r="B106" s="50"/>
      <c r="C106" s="39"/>
      <c r="D106" s="40"/>
      <c r="E106" s="41"/>
      <c r="F106" s="42"/>
      <c r="G106" s="43"/>
      <c r="H106" s="2">
        <f t="shared" si="21"/>
        <v>0</v>
      </c>
      <c r="I106" s="42"/>
      <c r="J106" s="43"/>
      <c r="K106" s="2">
        <f t="shared" si="22"/>
        <v>0</v>
      </c>
      <c r="L106" s="42"/>
      <c r="M106" s="43"/>
      <c r="N106" s="2">
        <f t="shared" si="23"/>
        <v>0</v>
      </c>
      <c r="O106" s="42"/>
      <c r="P106" s="43"/>
      <c r="Q106" s="2">
        <f t="shared" si="24"/>
        <v>0</v>
      </c>
      <c r="R106" s="42"/>
      <c r="S106" s="43"/>
      <c r="T106" s="2">
        <f t="shared" si="25"/>
        <v>0</v>
      </c>
      <c r="U106" s="42"/>
      <c r="V106" s="43"/>
      <c r="W106" s="2">
        <f t="shared" si="26"/>
        <v>0</v>
      </c>
      <c r="X106" s="42"/>
      <c r="Y106" s="43"/>
      <c r="Z106" s="2">
        <f t="shared" si="27"/>
        <v>0</v>
      </c>
      <c r="AA106" s="42"/>
      <c r="AB106" s="43"/>
      <c r="AC106" s="2">
        <f t="shared" si="28"/>
        <v>0</v>
      </c>
      <c r="AD106" s="42"/>
      <c r="AE106" s="43"/>
      <c r="AF106" s="2">
        <f t="shared" si="29"/>
        <v>0</v>
      </c>
      <c r="AG106" s="42"/>
      <c r="AH106" s="43"/>
      <c r="AI106" s="2">
        <f t="shared" si="30"/>
        <v>0</v>
      </c>
      <c r="AJ106" s="97" t="str" cm="1">
        <f t="array" ref="AJ106">GETMENORVALOR(H106,K106,N106,Q106,T106,W106,Z106,AC106,AF106,AI106)</f>
        <v/>
      </c>
      <c r="AK106" s="98"/>
    </row>
    <row r="107" spans="1:37" hidden="1" x14ac:dyDescent="0.25">
      <c r="A107" s="10" t="str">
        <f t="shared" si="31"/>
        <v/>
      </c>
      <c r="B107" s="50"/>
      <c r="C107" s="39"/>
      <c r="D107" s="40"/>
      <c r="E107" s="41"/>
      <c r="F107" s="42"/>
      <c r="G107" s="43"/>
      <c r="H107" s="2">
        <f t="shared" si="21"/>
        <v>0</v>
      </c>
      <c r="I107" s="42"/>
      <c r="J107" s="43"/>
      <c r="K107" s="2">
        <f t="shared" si="22"/>
        <v>0</v>
      </c>
      <c r="L107" s="42"/>
      <c r="M107" s="43"/>
      <c r="N107" s="2">
        <f t="shared" si="23"/>
        <v>0</v>
      </c>
      <c r="O107" s="42"/>
      <c r="P107" s="43"/>
      <c r="Q107" s="2">
        <f t="shared" si="24"/>
        <v>0</v>
      </c>
      <c r="R107" s="42"/>
      <c r="S107" s="43"/>
      <c r="T107" s="2">
        <f t="shared" si="25"/>
        <v>0</v>
      </c>
      <c r="U107" s="42"/>
      <c r="V107" s="43"/>
      <c r="W107" s="2">
        <f t="shared" si="26"/>
        <v>0</v>
      </c>
      <c r="X107" s="42"/>
      <c r="Y107" s="43"/>
      <c r="Z107" s="2">
        <f t="shared" si="27"/>
        <v>0</v>
      </c>
      <c r="AA107" s="42"/>
      <c r="AB107" s="43"/>
      <c r="AC107" s="2">
        <f t="shared" si="28"/>
        <v>0</v>
      </c>
      <c r="AD107" s="42"/>
      <c r="AE107" s="43"/>
      <c r="AF107" s="2">
        <f t="shared" si="29"/>
        <v>0</v>
      </c>
      <c r="AG107" s="42"/>
      <c r="AH107" s="43"/>
      <c r="AI107" s="2">
        <f t="shared" si="30"/>
        <v>0</v>
      </c>
      <c r="AJ107" s="97" t="str" cm="1">
        <f t="array" ref="AJ107">GETMENORVALOR(H107,K107,N107,Q107,T107,W107,Z107,AC107,AF107,AI107)</f>
        <v/>
      </c>
      <c r="AK107" s="98"/>
    </row>
    <row r="108" spans="1:37" hidden="1" x14ac:dyDescent="0.25">
      <c r="A108" s="10" t="str">
        <f t="shared" si="31"/>
        <v/>
      </c>
      <c r="B108" s="50"/>
      <c r="C108" s="39"/>
      <c r="D108" s="40"/>
      <c r="E108" s="41"/>
      <c r="F108" s="42"/>
      <c r="G108" s="43"/>
      <c r="H108" s="2">
        <f t="shared" si="21"/>
        <v>0</v>
      </c>
      <c r="I108" s="42"/>
      <c r="J108" s="43"/>
      <c r="K108" s="2">
        <f t="shared" si="22"/>
        <v>0</v>
      </c>
      <c r="L108" s="42"/>
      <c r="M108" s="43"/>
      <c r="N108" s="2">
        <f t="shared" si="23"/>
        <v>0</v>
      </c>
      <c r="O108" s="42"/>
      <c r="P108" s="43"/>
      <c r="Q108" s="2">
        <f t="shared" si="24"/>
        <v>0</v>
      </c>
      <c r="R108" s="42"/>
      <c r="S108" s="43"/>
      <c r="T108" s="2">
        <f t="shared" si="25"/>
        <v>0</v>
      </c>
      <c r="U108" s="42"/>
      <c r="V108" s="43"/>
      <c r="W108" s="2">
        <f t="shared" si="26"/>
        <v>0</v>
      </c>
      <c r="X108" s="42"/>
      <c r="Y108" s="43"/>
      <c r="Z108" s="2">
        <f t="shared" si="27"/>
        <v>0</v>
      </c>
      <c r="AA108" s="42"/>
      <c r="AB108" s="43"/>
      <c r="AC108" s="2">
        <f t="shared" si="28"/>
        <v>0</v>
      </c>
      <c r="AD108" s="42"/>
      <c r="AE108" s="43"/>
      <c r="AF108" s="2">
        <f t="shared" si="29"/>
        <v>0</v>
      </c>
      <c r="AG108" s="42"/>
      <c r="AH108" s="43"/>
      <c r="AI108" s="2">
        <f t="shared" si="30"/>
        <v>0</v>
      </c>
      <c r="AJ108" s="97" t="str" cm="1">
        <f t="array" ref="AJ108">GETMENORVALOR(H108,K108,N108,Q108,T108,W108,Z108,AC108,AF108,AI108)</f>
        <v/>
      </c>
      <c r="AK108" s="98"/>
    </row>
    <row r="109" spans="1:37" hidden="1" x14ac:dyDescent="0.25">
      <c r="A109" s="10" t="str">
        <f t="shared" si="31"/>
        <v/>
      </c>
      <c r="B109" s="50"/>
      <c r="C109" s="39"/>
      <c r="D109" s="40"/>
      <c r="E109" s="41"/>
      <c r="F109" s="42"/>
      <c r="G109" s="43"/>
      <c r="H109" s="2">
        <f t="shared" si="21"/>
        <v>0</v>
      </c>
      <c r="I109" s="42"/>
      <c r="J109" s="43"/>
      <c r="K109" s="2">
        <f t="shared" si="22"/>
        <v>0</v>
      </c>
      <c r="L109" s="42"/>
      <c r="M109" s="43"/>
      <c r="N109" s="2">
        <f t="shared" si="23"/>
        <v>0</v>
      </c>
      <c r="O109" s="42"/>
      <c r="P109" s="43"/>
      <c r="Q109" s="2">
        <f t="shared" si="24"/>
        <v>0</v>
      </c>
      <c r="R109" s="42"/>
      <c r="S109" s="43"/>
      <c r="T109" s="2">
        <f t="shared" si="25"/>
        <v>0</v>
      </c>
      <c r="U109" s="42"/>
      <c r="V109" s="43"/>
      <c r="W109" s="2">
        <f t="shared" si="26"/>
        <v>0</v>
      </c>
      <c r="X109" s="42"/>
      <c r="Y109" s="43"/>
      <c r="Z109" s="2">
        <f t="shared" si="27"/>
        <v>0</v>
      </c>
      <c r="AA109" s="42"/>
      <c r="AB109" s="43"/>
      <c r="AC109" s="2">
        <f t="shared" si="28"/>
        <v>0</v>
      </c>
      <c r="AD109" s="42"/>
      <c r="AE109" s="43"/>
      <c r="AF109" s="2">
        <f t="shared" si="29"/>
        <v>0</v>
      </c>
      <c r="AG109" s="42"/>
      <c r="AH109" s="43"/>
      <c r="AI109" s="2">
        <f t="shared" si="30"/>
        <v>0</v>
      </c>
      <c r="AJ109" s="97" t="str" cm="1">
        <f t="array" ref="AJ109">GETMENORVALOR(H109,K109,N109,Q109,T109,W109,Z109,AC109,AF109,AI109)</f>
        <v/>
      </c>
      <c r="AK109" s="98"/>
    </row>
    <row r="110" spans="1:37" hidden="1" x14ac:dyDescent="0.25">
      <c r="A110" s="10" t="str">
        <f t="shared" si="31"/>
        <v/>
      </c>
      <c r="B110" s="50"/>
      <c r="C110" s="39"/>
      <c r="D110" s="40"/>
      <c r="E110" s="41"/>
      <c r="F110" s="42"/>
      <c r="G110" s="43"/>
      <c r="H110" s="2">
        <f t="shared" si="21"/>
        <v>0</v>
      </c>
      <c r="I110" s="42"/>
      <c r="J110" s="43"/>
      <c r="K110" s="2">
        <f t="shared" si="22"/>
        <v>0</v>
      </c>
      <c r="L110" s="42"/>
      <c r="M110" s="43"/>
      <c r="N110" s="2">
        <f t="shared" si="23"/>
        <v>0</v>
      </c>
      <c r="O110" s="42"/>
      <c r="P110" s="43"/>
      <c r="Q110" s="2">
        <f t="shared" si="24"/>
        <v>0</v>
      </c>
      <c r="R110" s="42"/>
      <c r="S110" s="43"/>
      <c r="T110" s="2">
        <f t="shared" si="25"/>
        <v>0</v>
      </c>
      <c r="U110" s="42"/>
      <c r="V110" s="43"/>
      <c r="W110" s="2">
        <f t="shared" si="26"/>
        <v>0</v>
      </c>
      <c r="X110" s="42"/>
      <c r="Y110" s="43"/>
      <c r="Z110" s="2">
        <f t="shared" si="27"/>
        <v>0</v>
      </c>
      <c r="AA110" s="42"/>
      <c r="AB110" s="43"/>
      <c r="AC110" s="2">
        <f t="shared" si="28"/>
        <v>0</v>
      </c>
      <c r="AD110" s="42"/>
      <c r="AE110" s="43"/>
      <c r="AF110" s="2">
        <f t="shared" si="29"/>
        <v>0</v>
      </c>
      <c r="AG110" s="42"/>
      <c r="AH110" s="43"/>
      <c r="AI110" s="2">
        <f t="shared" si="30"/>
        <v>0</v>
      </c>
      <c r="AJ110" s="97" t="str" cm="1">
        <f t="array" ref="AJ110">GETMENORVALOR(H110,K110,N110,Q110,T110,W110,Z110,AC110,AF110,AI110)</f>
        <v/>
      </c>
      <c r="AK110" s="98"/>
    </row>
    <row r="111" spans="1:37" hidden="1" x14ac:dyDescent="0.25">
      <c r="A111" s="10" t="str">
        <f t="shared" si="31"/>
        <v/>
      </c>
      <c r="B111" s="50"/>
      <c r="C111" s="39"/>
      <c r="D111" s="40"/>
      <c r="E111" s="41"/>
      <c r="F111" s="42"/>
      <c r="G111" s="43"/>
      <c r="H111" s="2">
        <f t="shared" si="21"/>
        <v>0</v>
      </c>
      <c r="I111" s="42"/>
      <c r="J111" s="43"/>
      <c r="K111" s="2">
        <f t="shared" si="22"/>
        <v>0</v>
      </c>
      <c r="L111" s="42"/>
      <c r="M111" s="43"/>
      <c r="N111" s="2">
        <f t="shared" si="23"/>
        <v>0</v>
      </c>
      <c r="O111" s="42"/>
      <c r="P111" s="43"/>
      <c r="Q111" s="2">
        <f t="shared" si="24"/>
        <v>0</v>
      </c>
      <c r="R111" s="42"/>
      <c r="S111" s="43"/>
      <c r="T111" s="2">
        <f t="shared" si="25"/>
        <v>0</v>
      </c>
      <c r="U111" s="42"/>
      <c r="V111" s="43"/>
      <c r="W111" s="2">
        <f t="shared" si="26"/>
        <v>0</v>
      </c>
      <c r="X111" s="42"/>
      <c r="Y111" s="43"/>
      <c r="Z111" s="2">
        <f t="shared" si="27"/>
        <v>0</v>
      </c>
      <c r="AA111" s="42"/>
      <c r="AB111" s="43"/>
      <c r="AC111" s="2">
        <f t="shared" si="28"/>
        <v>0</v>
      </c>
      <c r="AD111" s="42"/>
      <c r="AE111" s="43"/>
      <c r="AF111" s="2">
        <f t="shared" si="29"/>
        <v>0</v>
      </c>
      <c r="AG111" s="42"/>
      <c r="AH111" s="43"/>
      <c r="AI111" s="2">
        <f t="shared" si="30"/>
        <v>0</v>
      </c>
      <c r="AJ111" s="97" t="str" cm="1">
        <f t="array" ref="AJ111">GETMENORVALOR(H111,K111,N111,Q111,T111,W111,Z111,AC111,AF111,AI111)</f>
        <v/>
      </c>
      <c r="AK111" s="98"/>
    </row>
    <row r="112" spans="1:37" hidden="1" x14ac:dyDescent="0.25">
      <c r="A112" s="10" t="str">
        <f t="shared" si="31"/>
        <v/>
      </c>
      <c r="B112" s="50"/>
      <c r="C112" s="39"/>
      <c r="D112" s="40"/>
      <c r="E112" s="41"/>
      <c r="F112" s="42"/>
      <c r="G112" s="43"/>
      <c r="H112" s="2">
        <f t="shared" si="21"/>
        <v>0</v>
      </c>
      <c r="I112" s="42"/>
      <c r="J112" s="43"/>
      <c r="K112" s="2">
        <f t="shared" si="22"/>
        <v>0</v>
      </c>
      <c r="L112" s="42"/>
      <c r="M112" s="43"/>
      <c r="N112" s="2">
        <f t="shared" si="23"/>
        <v>0</v>
      </c>
      <c r="O112" s="42"/>
      <c r="P112" s="43"/>
      <c r="Q112" s="2">
        <f t="shared" si="24"/>
        <v>0</v>
      </c>
      <c r="R112" s="42"/>
      <c r="S112" s="43"/>
      <c r="T112" s="2">
        <f t="shared" si="25"/>
        <v>0</v>
      </c>
      <c r="U112" s="42"/>
      <c r="V112" s="43"/>
      <c r="W112" s="2">
        <f t="shared" si="26"/>
        <v>0</v>
      </c>
      <c r="X112" s="42"/>
      <c r="Y112" s="43"/>
      <c r="Z112" s="2">
        <f t="shared" si="27"/>
        <v>0</v>
      </c>
      <c r="AA112" s="42"/>
      <c r="AB112" s="43"/>
      <c r="AC112" s="2">
        <f t="shared" si="28"/>
        <v>0</v>
      </c>
      <c r="AD112" s="42"/>
      <c r="AE112" s="43"/>
      <c r="AF112" s="2">
        <f t="shared" si="29"/>
        <v>0</v>
      </c>
      <c r="AG112" s="42"/>
      <c r="AH112" s="43"/>
      <c r="AI112" s="2">
        <f t="shared" si="30"/>
        <v>0</v>
      </c>
      <c r="AJ112" s="97" t="str" cm="1">
        <f t="array" ref="AJ112">GETMENORVALOR(H112,K112,N112,Q112,T112,W112,Z112,AC112,AF112,AI112)</f>
        <v/>
      </c>
      <c r="AK112" s="98"/>
    </row>
    <row r="113" spans="1:37" hidden="1" x14ac:dyDescent="0.25">
      <c r="A113" s="10" t="str">
        <f t="shared" si="31"/>
        <v/>
      </c>
      <c r="B113" s="50"/>
      <c r="C113" s="39"/>
      <c r="D113" s="40"/>
      <c r="E113" s="41"/>
      <c r="F113" s="42"/>
      <c r="G113" s="43"/>
      <c r="H113" s="2">
        <f t="shared" si="21"/>
        <v>0</v>
      </c>
      <c r="I113" s="42"/>
      <c r="J113" s="43"/>
      <c r="K113" s="2">
        <f t="shared" si="22"/>
        <v>0</v>
      </c>
      <c r="L113" s="42"/>
      <c r="M113" s="43"/>
      <c r="N113" s="2">
        <f t="shared" si="23"/>
        <v>0</v>
      </c>
      <c r="O113" s="42"/>
      <c r="P113" s="43"/>
      <c r="Q113" s="2">
        <f t="shared" si="24"/>
        <v>0</v>
      </c>
      <c r="R113" s="42"/>
      <c r="S113" s="43"/>
      <c r="T113" s="2">
        <f t="shared" si="25"/>
        <v>0</v>
      </c>
      <c r="U113" s="42"/>
      <c r="V113" s="43"/>
      <c r="W113" s="2">
        <f t="shared" si="26"/>
        <v>0</v>
      </c>
      <c r="X113" s="42"/>
      <c r="Y113" s="43"/>
      <c r="Z113" s="2">
        <f t="shared" si="27"/>
        <v>0</v>
      </c>
      <c r="AA113" s="42"/>
      <c r="AB113" s="43"/>
      <c r="AC113" s="2">
        <f t="shared" si="28"/>
        <v>0</v>
      </c>
      <c r="AD113" s="42"/>
      <c r="AE113" s="43"/>
      <c r="AF113" s="2">
        <f t="shared" si="29"/>
        <v>0</v>
      </c>
      <c r="AG113" s="42"/>
      <c r="AH113" s="43"/>
      <c r="AI113" s="2">
        <f t="shared" si="30"/>
        <v>0</v>
      </c>
      <c r="AJ113" s="97" t="str" cm="1">
        <f t="array" ref="AJ113">GETMENORVALOR(H113,K113,N113,Q113,T113,W113,Z113,AC113,AF113,AI113)</f>
        <v/>
      </c>
      <c r="AK113" s="98"/>
    </row>
    <row r="114" spans="1:37" hidden="1" x14ac:dyDescent="0.25">
      <c r="A114" s="10" t="str">
        <f t="shared" si="31"/>
        <v/>
      </c>
      <c r="B114" s="50"/>
      <c r="C114" s="39"/>
      <c r="D114" s="40"/>
      <c r="E114" s="41"/>
      <c r="F114" s="42"/>
      <c r="G114" s="43"/>
      <c r="H114" s="2">
        <f t="shared" ref="H114:H145" si="32">IF($A114&lt;&gt;"", F114 * $D114 * (1 - G114), 0)</f>
        <v>0</v>
      </c>
      <c r="I114" s="42"/>
      <c r="J114" s="43"/>
      <c r="K114" s="2">
        <f t="shared" ref="K114:K145" si="33">IF($A114&lt;&gt;"", I114 * $D114 * (1 - J114), 0)</f>
        <v>0</v>
      </c>
      <c r="L114" s="42"/>
      <c r="M114" s="43"/>
      <c r="N114" s="2">
        <f t="shared" ref="N114:N145" si="34">IF($A114&lt;&gt;"", L114 * $D114 * (1 - M114), 0)</f>
        <v>0</v>
      </c>
      <c r="O114" s="42"/>
      <c r="P114" s="43"/>
      <c r="Q114" s="2">
        <f t="shared" ref="Q114:Q145" si="35">IF($A114&lt;&gt;"", O114 * $D114 * (1 - P114), 0)</f>
        <v>0</v>
      </c>
      <c r="R114" s="42"/>
      <c r="S114" s="43"/>
      <c r="T114" s="2">
        <f t="shared" ref="T114:T145" si="36">IF($A114&lt;&gt;"", R114 * $D114 * (1 - S114), 0)</f>
        <v>0</v>
      </c>
      <c r="U114" s="42"/>
      <c r="V114" s="43"/>
      <c r="W114" s="2">
        <f t="shared" ref="W114:W145" si="37">IF($A114&lt;&gt;"", U114 * $D114 * (1 - V114), 0)</f>
        <v>0</v>
      </c>
      <c r="X114" s="42"/>
      <c r="Y114" s="43"/>
      <c r="Z114" s="2">
        <f t="shared" ref="Z114:Z145" si="38">IF($A114&lt;&gt;"", X114 * $D114 * (1 - Y114), 0)</f>
        <v>0</v>
      </c>
      <c r="AA114" s="42"/>
      <c r="AB114" s="43"/>
      <c r="AC114" s="2">
        <f t="shared" ref="AC114:AC145" si="39">IF($A114&lt;&gt;"", AA114 * $D114 * (1 - AB114), 0)</f>
        <v>0</v>
      </c>
      <c r="AD114" s="42"/>
      <c r="AE114" s="43"/>
      <c r="AF114" s="2">
        <f t="shared" ref="AF114:AF145" si="40">IF($A114&lt;&gt;"", AD114 * $D114 * (1 - AE114), 0)</f>
        <v>0</v>
      </c>
      <c r="AG114" s="42"/>
      <c r="AH114" s="43"/>
      <c r="AI114" s="2">
        <f t="shared" ref="AI114:AI145" si="41">IF($A114&lt;&gt;"", AG114 * $D114 * (1 - AH114), 0)</f>
        <v>0</v>
      </c>
      <c r="AJ114" s="97" t="str" cm="1">
        <f t="array" ref="AJ114">GETMENORVALOR(H114,K114,N114,Q114,T114,W114,Z114,AC114,AF114,AI114)</f>
        <v/>
      </c>
      <c r="AK114" s="98"/>
    </row>
    <row r="115" spans="1:37" hidden="1" x14ac:dyDescent="0.25">
      <c r="A115" s="10" t="str">
        <f t="shared" si="31"/>
        <v/>
      </c>
      <c r="B115" s="50"/>
      <c r="C115" s="39"/>
      <c r="D115" s="40"/>
      <c r="E115" s="41"/>
      <c r="F115" s="42"/>
      <c r="G115" s="43"/>
      <c r="H115" s="2">
        <f t="shared" si="32"/>
        <v>0</v>
      </c>
      <c r="I115" s="42"/>
      <c r="J115" s="43"/>
      <c r="K115" s="2">
        <f t="shared" si="33"/>
        <v>0</v>
      </c>
      <c r="L115" s="42"/>
      <c r="M115" s="43"/>
      <c r="N115" s="2">
        <f t="shared" si="34"/>
        <v>0</v>
      </c>
      <c r="O115" s="42"/>
      <c r="P115" s="43"/>
      <c r="Q115" s="2">
        <f t="shared" si="35"/>
        <v>0</v>
      </c>
      <c r="R115" s="42"/>
      <c r="S115" s="43"/>
      <c r="T115" s="2">
        <f t="shared" si="36"/>
        <v>0</v>
      </c>
      <c r="U115" s="42"/>
      <c r="V115" s="43"/>
      <c r="W115" s="2">
        <f t="shared" si="37"/>
        <v>0</v>
      </c>
      <c r="X115" s="42"/>
      <c r="Y115" s="43"/>
      <c r="Z115" s="2">
        <f t="shared" si="38"/>
        <v>0</v>
      </c>
      <c r="AA115" s="42"/>
      <c r="AB115" s="43"/>
      <c r="AC115" s="2">
        <f t="shared" si="39"/>
        <v>0</v>
      </c>
      <c r="AD115" s="42"/>
      <c r="AE115" s="43"/>
      <c r="AF115" s="2">
        <f t="shared" si="40"/>
        <v>0</v>
      </c>
      <c r="AG115" s="42"/>
      <c r="AH115" s="43"/>
      <c r="AI115" s="2">
        <f t="shared" si="41"/>
        <v>0</v>
      </c>
      <c r="AJ115" s="97" t="str" cm="1">
        <f t="array" ref="AJ115">GETMENORVALOR(H115,K115,N115,Q115,T115,W115,Z115,AC115,AF115,AI115)</f>
        <v/>
      </c>
      <c r="AK115" s="98"/>
    </row>
    <row r="116" spans="1:37" hidden="1" x14ac:dyDescent="0.25">
      <c r="A116" s="10" t="str">
        <f t="shared" si="31"/>
        <v/>
      </c>
      <c r="B116" s="50"/>
      <c r="C116" s="39"/>
      <c r="D116" s="40"/>
      <c r="E116" s="41"/>
      <c r="F116" s="42"/>
      <c r="G116" s="43"/>
      <c r="H116" s="2">
        <f t="shared" si="32"/>
        <v>0</v>
      </c>
      <c r="I116" s="42"/>
      <c r="J116" s="43"/>
      <c r="K116" s="2">
        <f t="shared" si="33"/>
        <v>0</v>
      </c>
      <c r="L116" s="42"/>
      <c r="M116" s="43"/>
      <c r="N116" s="2">
        <f t="shared" si="34"/>
        <v>0</v>
      </c>
      <c r="O116" s="42"/>
      <c r="P116" s="43"/>
      <c r="Q116" s="2">
        <f t="shared" si="35"/>
        <v>0</v>
      </c>
      <c r="R116" s="42"/>
      <c r="S116" s="43"/>
      <c r="T116" s="2">
        <f t="shared" si="36"/>
        <v>0</v>
      </c>
      <c r="U116" s="42"/>
      <c r="V116" s="43"/>
      <c r="W116" s="2">
        <f t="shared" si="37"/>
        <v>0</v>
      </c>
      <c r="X116" s="42"/>
      <c r="Y116" s="43"/>
      <c r="Z116" s="2">
        <f t="shared" si="38"/>
        <v>0</v>
      </c>
      <c r="AA116" s="42"/>
      <c r="AB116" s="43"/>
      <c r="AC116" s="2">
        <f t="shared" si="39"/>
        <v>0</v>
      </c>
      <c r="AD116" s="42"/>
      <c r="AE116" s="43"/>
      <c r="AF116" s="2">
        <f t="shared" si="40"/>
        <v>0</v>
      </c>
      <c r="AG116" s="42"/>
      <c r="AH116" s="43"/>
      <c r="AI116" s="2">
        <f t="shared" si="41"/>
        <v>0</v>
      </c>
      <c r="AJ116" s="97" t="str" cm="1">
        <f t="array" ref="AJ116">GETMENORVALOR(H116,K116,N116,Q116,T116,W116,Z116,AC116,AF116,AI116)</f>
        <v/>
      </c>
      <c r="AK116" s="98"/>
    </row>
    <row r="117" spans="1:37" hidden="1" x14ac:dyDescent="0.25">
      <c r="A117" s="10" t="str">
        <f t="shared" si="31"/>
        <v/>
      </c>
      <c r="B117" s="50"/>
      <c r="C117" s="39"/>
      <c r="D117" s="40"/>
      <c r="E117" s="41"/>
      <c r="F117" s="42"/>
      <c r="G117" s="43"/>
      <c r="H117" s="2">
        <f t="shared" si="32"/>
        <v>0</v>
      </c>
      <c r="I117" s="42"/>
      <c r="J117" s="43"/>
      <c r="K117" s="2">
        <f t="shared" si="33"/>
        <v>0</v>
      </c>
      <c r="L117" s="42"/>
      <c r="M117" s="43"/>
      <c r="N117" s="2">
        <f t="shared" si="34"/>
        <v>0</v>
      </c>
      <c r="O117" s="42"/>
      <c r="P117" s="43"/>
      <c r="Q117" s="2">
        <f t="shared" si="35"/>
        <v>0</v>
      </c>
      <c r="R117" s="42"/>
      <c r="S117" s="43"/>
      <c r="T117" s="2">
        <f t="shared" si="36"/>
        <v>0</v>
      </c>
      <c r="U117" s="42"/>
      <c r="V117" s="43"/>
      <c r="W117" s="2">
        <f t="shared" si="37"/>
        <v>0</v>
      </c>
      <c r="X117" s="42"/>
      <c r="Y117" s="43"/>
      <c r="Z117" s="2">
        <f t="shared" si="38"/>
        <v>0</v>
      </c>
      <c r="AA117" s="42"/>
      <c r="AB117" s="43"/>
      <c r="AC117" s="2">
        <f t="shared" si="39"/>
        <v>0</v>
      </c>
      <c r="AD117" s="42"/>
      <c r="AE117" s="43"/>
      <c r="AF117" s="2">
        <f t="shared" si="40"/>
        <v>0</v>
      </c>
      <c r="AG117" s="42"/>
      <c r="AH117" s="43"/>
      <c r="AI117" s="2">
        <f t="shared" si="41"/>
        <v>0</v>
      </c>
      <c r="AJ117" s="97" t="str" cm="1">
        <f t="array" ref="AJ117">GETMENORVALOR(H117,K117,N117,Q117,T117,W117,Z117,AC117,AF117,AI117)</f>
        <v/>
      </c>
      <c r="AK117" s="98"/>
    </row>
    <row r="118" spans="1:37" hidden="1" x14ac:dyDescent="0.25">
      <c r="A118" s="10" t="str">
        <f t="shared" si="31"/>
        <v/>
      </c>
      <c r="B118" s="50"/>
      <c r="C118" s="39"/>
      <c r="D118" s="40"/>
      <c r="E118" s="41"/>
      <c r="F118" s="42"/>
      <c r="G118" s="43"/>
      <c r="H118" s="2">
        <f t="shared" si="32"/>
        <v>0</v>
      </c>
      <c r="I118" s="42"/>
      <c r="J118" s="43"/>
      <c r="K118" s="2">
        <f t="shared" si="33"/>
        <v>0</v>
      </c>
      <c r="L118" s="42"/>
      <c r="M118" s="43"/>
      <c r="N118" s="2">
        <f t="shared" si="34"/>
        <v>0</v>
      </c>
      <c r="O118" s="42"/>
      <c r="P118" s="43"/>
      <c r="Q118" s="2">
        <f t="shared" si="35"/>
        <v>0</v>
      </c>
      <c r="R118" s="42"/>
      <c r="S118" s="43"/>
      <c r="T118" s="2">
        <f t="shared" si="36"/>
        <v>0</v>
      </c>
      <c r="U118" s="42"/>
      <c r="V118" s="43"/>
      <c r="W118" s="2">
        <f t="shared" si="37"/>
        <v>0</v>
      </c>
      <c r="X118" s="42"/>
      <c r="Y118" s="43"/>
      <c r="Z118" s="2">
        <f t="shared" si="38"/>
        <v>0</v>
      </c>
      <c r="AA118" s="42"/>
      <c r="AB118" s="43"/>
      <c r="AC118" s="2">
        <f t="shared" si="39"/>
        <v>0</v>
      </c>
      <c r="AD118" s="42"/>
      <c r="AE118" s="43"/>
      <c r="AF118" s="2">
        <f t="shared" si="40"/>
        <v>0</v>
      </c>
      <c r="AG118" s="42"/>
      <c r="AH118" s="43"/>
      <c r="AI118" s="2">
        <f t="shared" si="41"/>
        <v>0</v>
      </c>
      <c r="AJ118" s="97" t="str" cm="1">
        <f t="array" ref="AJ118">GETMENORVALOR(H118,K118,N118,Q118,T118,W118,Z118,AC118,AF118,AI118)</f>
        <v/>
      </c>
      <c r="AK118" s="98"/>
    </row>
    <row r="119" spans="1:37" hidden="1" x14ac:dyDescent="0.25">
      <c r="A119" s="10" t="str">
        <f t="shared" si="31"/>
        <v/>
      </c>
      <c r="B119" s="50"/>
      <c r="C119" s="39"/>
      <c r="D119" s="40"/>
      <c r="E119" s="41"/>
      <c r="F119" s="42"/>
      <c r="G119" s="43"/>
      <c r="H119" s="2">
        <f t="shared" si="32"/>
        <v>0</v>
      </c>
      <c r="I119" s="42"/>
      <c r="J119" s="43"/>
      <c r="K119" s="2">
        <f t="shared" si="33"/>
        <v>0</v>
      </c>
      <c r="L119" s="42"/>
      <c r="M119" s="43"/>
      <c r="N119" s="2">
        <f t="shared" si="34"/>
        <v>0</v>
      </c>
      <c r="O119" s="42"/>
      <c r="P119" s="43"/>
      <c r="Q119" s="2">
        <f t="shared" si="35"/>
        <v>0</v>
      </c>
      <c r="R119" s="42"/>
      <c r="S119" s="43"/>
      <c r="T119" s="2">
        <f t="shared" si="36"/>
        <v>0</v>
      </c>
      <c r="U119" s="42"/>
      <c r="V119" s="43"/>
      <c r="W119" s="2">
        <f t="shared" si="37"/>
        <v>0</v>
      </c>
      <c r="X119" s="42"/>
      <c r="Y119" s="43"/>
      <c r="Z119" s="2">
        <f t="shared" si="38"/>
        <v>0</v>
      </c>
      <c r="AA119" s="42"/>
      <c r="AB119" s="43"/>
      <c r="AC119" s="2">
        <f t="shared" si="39"/>
        <v>0</v>
      </c>
      <c r="AD119" s="42"/>
      <c r="AE119" s="43"/>
      <c r="AF119" s="2">
        <f t="shared" si="40"/>
        <v>0</v>
      </c>
      <c r="AG119" s="42"/>
      <c r="AH119" s="43"/>
      <c r="AI119" s="2">
        <f t="shared" si="41"/>
        <v>0</v>
      </c>
      <c r="AJ119" s="97" t="str" cm="1">
        <f t="array" ref="AJ119">GETMENORVALOR(H119,K119,N119,Q119,T119,W119,Z119,AC119,AF119,AI119)</f>
        <v/>
      </c>
      <c r="AK119" s="98"/>
    </row>
    <row r="120" spans="1:37" hidden="1" x14ac:dyDescent="0.25">
      <c r="A120" s="10" t="str">
        <f t="shared" si="31"/>
        <v/>
      </c>
      <c r="B120" s="50"/>
      <c r="C120" s="39"/>
      <c r="D120" s="40"/>
      <c r="E120" s="41"/>
      <c r="F120" s="42"/>
      <c r="G120" s="43"/>
      <c r="H120" s="2">
        <f t="shared" si="32"/>
        <v>0</v>
      </c>
      <c r="I120" s="42"/>
      <c r="J120" s="43"/>
      <c r="K120" s="2">
        <f t="shared" si="33"/>
        <v>0</v>
      </c>
      <c r="L120" s="42"/>
      <c r="M120" s="43"/>
      <c r="N120" s="2">
        <f t="shared" si="34"/>
        <v>0</v>
      </c>
      <c r="O120" s="42"/>
      <c r="P120" s="43"/>
      <c r="Q120" s="2">
        <f t="shared" si="35"/>
        <v>0</v>
      </c>
      <c r="R120" s="42"/>
      <c r="S120" s="43"/>
      <c r="T120" s="2">
        <f t="shared" si="36"/>
        <v>0</v>
      </c>
      <c r="U120" s="42"/>
      <c r="V120" s="43"/>
      <c r="W120" s="2">
        <f t="shared" si="37"/>
        <v>0</v>
      </c>
      <c r="X120" s="42"/>
      <c r="Y120" s="43"/>
      <c r="Z120" s="2">
        <f t="shared" si="38"/>
        <v>0</v>
      </c>
      <c r="AA120" s="42"/>
      <c r="AB120" s="43"/>
      <c r="AC120" s="2">
        <f t="shared" si="39"/>
        <v>0</v>
      </c>
      <c r="AD120" s="42"/>
      <c r="AE120" s="43"/>
      <c r="AF120" s="2">
        <f t="shared" si="40"/>
        <v>0</v>
      </c>
      <c r="AG120" s="42"/>
      <c r="AH120" s="43"/>
      <c r="AI120" s="2">
        <f t="shared" si="41"/>
        <v>0</v>
      </c>
      <c r="AJ120" s="97" t="str" cm="1">
        <f t="array" ref="AJ120">GETMENORVALOR(H120,K120,N120,Q120,T120,W120,Z120,AC120,AF120,AI120)</f>
        <v/>
      </c>
      <c r="AK120" s="98"/>
    </row>
    <row r="121" spans="1:37" hidden="1" x14ac:dyDescent="0.25">
      <c r="A121" s="10" t="str">
        <f t="shared" si="31"/>
        <v/>
      </c>
      <c r="B121" s="50"/>
      <c r="C121" s="39"/>
      <c r="D121" s="40"/>
      <c r="E121" s="41"/>
      <c r="F121" s="42"/>
      <c r="G121" s="43"/>
      <c r="H121" s="2">
        <f t="shared" si="32"/>
        <v>0</v>
      </c>
      <c r="I121" s="42"/>
      <c r="J121" s="43"/>
      <c r="K121" s="2">
        <f t="shared" si="33"/>
        <v>0</v>
      </c>
      <c r="L121" s="42"/>
      <c r="M121" s="43"/>
      <c r="N121" s="2">
        <f t="shared" si="34"/>
        <v>0</v>
      </c>
      <c r="O121" s="42"/>
      <c r="P121" s="43"/>
      <c r="Q121" s="2">
        <f t="shared" si="35"/>
        <v>0</v>
      </c>
      <c r="R121" s="42"/>
      <c r="S121" s="43"/>
      <c r="T121" s="2">
        <f t="shared" si="36"/>
        <v>0</v>
      </c>
      <c r="U121" s="42"/>
      <c r="V121" s="43"/>
      <c r="W121" s="2">
        <f t="shared" si="37"/>
        <v>0</v>
      </c>
      <c r="X121" s="42"/>
      <c r="Y121" s="43"/>
      <c r="Z121" s="2">
        <f t="shared" si="38"/>
        <v>0</v>
      </c>
      <c r="AA121" s="42"/>
      <c r="AB121" s="43"/>
      <c r="AC121" s="2">
        <f t="shared" si="39"/>
        <v>0</v>
      </c>
      <c r="AD121" s="42"/>
      <c r="AE121" s="43"/>
      <c r="AF121" s="2">
        <f t="shared" si="40"/>
        <v>0</v>
      </c>
      <c r="AG121" s="42"/>
      <c r="AH121" s="43"/>
      <c r="AI121" s="2">
        <f t="shared" si="41"/>
        <v>0</v>
      </c>
      <c r="AJ121" s="97" t="str" cm="1">
        <f t="array" ref="AJ121">GETMENORVALOR(H121,K121,N121,Q121,T121,W121,Z121,AC121,AF121,AI121)</f>
        <v/>
      </c>
      <c r="AK121" s="98"/>
    </row>
    <row r="122" spans="1:37" hidden="1" x14ac:dyDescent="0.25">
      <c r="A122" s="10" t="str">
        <f t="shared" si="31"/>
        <v/>
      </c>
      <c r="B122" s="50"/>
      <c r="C122" s="39"/>
      <c r="D122" s="40"/>
      <c r="E122" s="41"/>
      <c r="F122" s="42"/>
      <c r="G122" s="43"/>
      <c r="H122" s="2">
        <f t="shared" si="32"/>
        <v>0</v>
      </c>
      <c r="I122" s="42"/>
      <c r="J122" s="43"/>
      <c r="K122" s="2">
        <f t="shared" si="33"/>
        <v>0</v>
      </c>
      <c r="L122" s="42"/>
      <c r="M122" s="43"/>
      <c r="N122" s="2">
        <f t="shared" si="34"/>
        <v>0</v>
      </c>
      <c r="O122" s="42"/>
      <c r="P122" s="43"/>
      <c r="Q122" s="2">
        <f t="shared" si="35"/>
        <v>0</v>
      </c>
      <c r="R122" s="42"/>
      <c r="S122" s="43"/>
      <c r="T122" s="2">
        <f t="shared" si="36"/>
        <v>0</v>
      </c>
      <c r="U122" s="42"/>
      <c r="V122" s="43"/>
      <c r="W122" s="2">
        <f t="shared" si="37"/>
        <v>0</v>
      </c>
      <c r="X122" s="42"/>
      <c r="Y122" s="43"/>
      <c r="Z122" s="2">
        <f t="shared" si="38"/>
        <v>0</v>
      </c>
      <c r="AA122" s="42"/>
      <c r="AB122" s="43"/>
      <c r="AC122" s="2">
        <f t="shared" si="39"/>
        <v>0</v>
      </c>
      <c r="AD122" s="42"/>
      <c r="AE122" s="43"/>
      <c r="AF122" s="2">
        <f t="shared" si="40"/>
        <v>0</v>
      </c>
      <c r="AG122" s="42"/>
      <c r="AH122" s="43"/>
      <c r="AI122" s="2">
        <f t="shared" si="41"/>
        <v>0</v>
      </c>
      <c r="AJ122" s="97" t="str" cm="1">
        <f t="array" ref="AJ122">GETMENORVALOR(H122,K122,N122,Q122,T122,W122,Z122,AC122,AF122,AI122)</f>
        <v/>
      </c>
      <c r="AK122" s="98"/>
    </row>
    <row r="123" spans="1:37" hidden="1" x14ac:dyDescent="0.25">
      <c r="A123" s="10" t="str">
        <f t="shared" si="31"/>
        <v/>
      </c>
      <c r="B123" s="50"/>
      <c r="C123" s="39"/>
      <c r="D123" s="40"/>
      <c r="E123" s="41"/>
      <c r="F123" s="42"/>
      <c r="G123" s="43"/>
      <c r="H123" s="2">
        <f t="shared" si="32"/>
        <v>0</v>
      </c>
      <c r="I123" s="42"/>
      <c r="J123" s="43"/>
      <c r="K123" s="2">
        <f t="shared" si="33"/>
        <v>0</v>
      </c>
      <c r="L123" s="42"/>
      <c r="M123" s="43"/>
      <c r="N123" s="2">
        <f t="shared" si="34"/>
        <v>0</v>
      </c>
      <c r="O123" s="42"/>
      <c r="P123" s="43"/>
      <c r="Q123" s="2">
        <f t="shared" si="35"/>
        <v>0</v>
      </c>
      <c r="R123" s="42"/>
      <c r="S123" s="43"/>
      <c r="T123" s="2">
        <f t="shared" si="36"/>
        <v>0</v>
      </c>
      <c r="U123" s="42"/>
      <c r="V123" s="43"/>
      <c r="W123" s="2">
        <f t="shared" si="37"/>
        <v>0</v>
      </c>
      <c r="X123" s="42"/>
      <c r="Y123" s="43"/>
      <c r="Z123" s="2">
        <f t="shared" si="38"/>
        <v>0</v>
      </c>
      <c r="AA123" s="42"/>
      <c r="AB123" s="43"/>
      <c r="AC123" s="2">
        <f t="shared" si="39"/>
        <v>0</v>
      </c>
      <c r="AD123" s="42"/>
      <c r="AE123" s="43"/>
      <c r="AF123" s="2">
        <f t="shared" si="40"/>
        <v>0</v>
      </c>
      <c r="AG123" s="42"/>
      <c r="AH123" s="43"/>
      <c r="AI123" s="2">
        <f t="shared" si="41"/>
        <v>0</v>
      </c>
      <c r="AJ123" s="97" t="str" cm="1">
        <f t="array" ref="AJ123">GETMENORVALOR(H123,K123,N123,Q123,T123,W123,Z123,AC123,AF123,AI123)</f>
        <v/>
      </c>
      <c r="AK123" s="98"/>
    </row>
    <row r="124" spans="1:37" hidden="1" x14ac:dyDescent="0.25">
      <c r="A124" s="10" t="str">
        <f t="shared" si="31"/>
        <v/>
      </c>
      <c r="B124" s="50"/>
      <c r="C124" s="39"/>
      <c r="D124" s="40"/>
      <c r="E124" s="41"/>
      <c r="F124" s="42"/>
      <c r="G124" s="43"/>
      <c r="H124" s="2">
        <f t="shared" si="32"/>
        <v>0</v>
      </c>
      <c r="I124" s="42"/>
      <c r="J124" s="43"/>
      <c r="K124" s="2">
        <f t="shared" si="33"/>
        <v>0</v>
      </c>
      <c r="L124" s="42"/>
      <c r="M124" s="43"/>
      <c r="N124" s="2">
        <f t="shared" si="34"/>
        <v>0</v>
      </c>
      <c r="O124" s="42"/>
      <c r="P124" s="43"/>
      <c r="Q124" s="2">
        <f t="shared" si="35"/>
        <v>0</v>
      </c>
      <c r="R124" s="42"/>
      <c r="S124" s="43"/>
      <c r="T124" s="2">
        <f t="shared" si="36"/>
        <v>0</v>
      </c>
      <c r="U124" s="42"/>
      <c r="V124" s="43"/>
      <c r="W124" s="2">
        <f t="shared" si="37"/>
        <v>0</v>
      </c>
      <c r="X124" s="42"/>
      <c r="Y124" s="43"/>
      <c r="Z124" s="2">
        <f t="shared" si="38"/>
        <v>0</v>
      </c>
      <c r="AA124" s="42"/>
      <c r="AB124" s="43"/>
      <c r="AC124" s="2">
        <f t="shared" si="39"/>
        <v>0</v>
      </c>
      <c r="AD124" s="42"/>
      <c r="AE124" s="43"/>
      <c r="AF124" s="2">
        <f t="shared" si="40"/>
        <v>0</v>
      </c>
      <c r="AG124" s="42"/>
      <c r="AH124" s="43"/>
      <c r="AI124" s="2">
        <f t="shared" si="41"/>
        <v>0</v>
      </c>
      <c r="AJ124" s="97" t="str" cm="1">
        <f t="array" ref="AJ124">GETMENORVALOR(H124,K124,N124,Q124,T124,W124,Z124,AC124,AF124,AI124)</f>
        <v/>
      </c>
      <c r="AK124" s="98"/>
    </row>
    <row r="125" spans="1:37" hidden="1" x14ac:dyDescent="0.25">
      <c r="A125" s="10" t="str">
        <f t="shared" si="31"/>
        <v/>
      </c>
      <c r="B125" s="50"/>
      <c r="C125" s="39"/>
      <c r="D125" s="40"/>
      <c r="E125" s="41"/>
      <c r="F125" s="42"/>
      <c r="G125" s="43"/>
      <c r="H125" s="2">
        <f t="shared" si="32"/>
        <v>0</v>
      </c>
      <c r="I125" s="42"/>
      <c r="J125" s="43"/>
      <c r="K125" s="2">
        <f t="shared" si="33"/>
        <v>0</v>
      </c>
      <c r="L125" s="42"/>
      <c r="M125" s="43"/>
      <c r="N125" s="2">
        <f t="shared" si="34"/>
        <v>0</v>
      </c>
      <c r="O125" s="42"/>
      <c r="P125" s="43"/>
      <c r="Q125" s="2">
        <f t="shared" si="35"/>
        <v>0</v>
      </c>
      <c r="R125" s="42"/>
      <c r="S125" s="43"/>
      <c r="T125" s="2">
        <f t="shared" si="36"/>
        <v>0</v>
      </c>
      <c r="U125" s="42"/>
      <c r="V125" s="43"/>
      <c r="W125" s="2">
        <f t="shared" si="37"/>
        <v>0</v>
      </c>
      <c r="X125" s="42"/>
      <c r="Y125" s="43"/>
      <c r="Z125" s="2">
        <f t="shared" si="38"/>
        <v>0</v>
      </c>
      <c r="AA125" s="42"/>
      <c r="AB125" s="43"/>
      <c r="AC125" s="2">
        <f t="shared" si="39"/>
        <v>0</v>
      </c>
      <c r="AD125" s="42"/>
      <c r="AE125" s="43"/>
      <c r="AF125" s="2">
        <f t="shared" si="40"/>
        <v>0</v>
      </c>
      <c r="AG125" s="42"/>
      <c r="AH125" s="43"/>
      <c r="AI125" s="2">
        <f t="shared" si="41"/>
        <v>0</v>
      </c>
      <c r="AJ125" s="97" t="str" cm="1">
        <f t="array" ref="AJ125">GETMENORVALOR(H125,K125,N125,Q125,T125,W125,Z125,AC125,AF125,AI125)</f>
        <v/>
      </c>
      <c r="AK125" s="98"/>
    </row>
    <row r="126" spans="1:37" hidden="1" x14ac:dyDescent="0.25">
      <c r="A126" s="10" t="str">
        <f t="shared" si="31"/>
        <v/>
      </c>
      <c r="B126" s="50"/>
      <c r="C126" s="39"/>
      <c r="D126" s="40"/>
      <c r="E126" s="41"/>
      <c r="F126" s="42"/>
      <c r="G126" s="43"/>
      <c r="H126" s="2">
        <f t="shared" si="32"/>
        <v>0</v>
      </c>
      <c r="I126" s="42"/>
      <c r="J126" s="43"/>
      <c r="K126" s="2">
        <f t="shared" si="33"/>
        <v>0</v>
      </c>
      <c r="L126" s="42"/>
      <c r="M126" s="43"/>
      <c r="N126" s="2">
        <f t="shared" si="34"/>
        <v>0</v>
      </c>
      <c r="O126" s="42"/>
      <c r="P126" s="43"/>
      <c r="Q126" s="2">
        <f t="shared" si="35"/>
        <v>0</v>
      </c>
      <c r="R126" s="42"/>
      <c r="S126" s="43"/>
      <c r="T126" s="2">
        <f t="shared" si="36"/>
        <v>0</v>
      </c>
      <c r="U126" s="42"/>
      <c r="V126" s="43"/>
      <c r="W126" s="2">
        <f t="shared" si="37"/>
        <v>0</v>
      </c>
      <c r="X126" s="42"/>
      <c r="Y126" s="43"/>
      <c r="Z126" s="2">
        <f t="shared" si="38"/>
        <v>0</v>
      </c>
      <c r="AA126" s="42"/>
      <c r="AB126" s="43"/>
      <c r="AC126" s="2">
        <f t="shared" si="39"/>
        <v>0</v>
      </c>
      <c r="AD126" s="42"/>
      <c r="AE126" s="43"/>
      <c r="AF126" s="2">
        <f t="shared" si="40"/>
        <v>0</v>
      </c>
      <c r="AG126" s="42"/>
      <c r="AH126" s="43"/>
      <c r="AI126" s="2">
        <f t="shared" si="41"/>
        <v>0</v>
      </c>
      <c r="AJ126" s="97" t="str" cm="1">
        <f t="array" ref="AJ126">GETMENORVALOR(H126,K126,N126,Q126,T126,W126,Z126,AC126,AF126,AI126)</f>
        <v/>
      </c>
      <c r="AK126" s="98"/>
    </row>
    <row r="127" spans="1:37" hidden="1" x14ac:dyDescent="0.25">
      <c r="A127" s="10" t="str">
        <f t="shared" si="31"/>
        <v/>
      </c>
      <c r="B127" s="50"/>
      <c r="C127" s="39"/>
      <c r="D127" s="40"/>
      <c r="E127" s="41"/>
      <c r="F127" s="42"/>
      <c r="G127" s="43"/>
      <c r="H127" s="2">
        <f t="shared" si="32"/>
        <v>0</v>
      </c>
      <c r="I127" s="42"/>
      <c r="J127" s="43"/>
      <c r="K127" s="2">
        <f t="shared" si="33"/>
        <v>0</v>
      </c>
      <c r="L127" s="42"/>
      <c r="M127" s="43"/>
      <c r="N127" s="2">
        <f t="shared" si="34"/>
        <v>0</v>
      </c>
      <c r="O127" s="42"/>
      <c r="P127" s="43"/>
      <c r="Q127" s="2">
        <f t="shared" si="35"/>
        <v>0</v>
      </c>
      <c r="R127" s="42"/>
      <c r="S127" s="43"/>
      <c r="T127" s="2">
        <f t="shared" si="36"/>
        <v>0</v>
      </c>
      <c r="U127" s="42"/>
      <c r="V127" s="43"/>
      <c r="W127" s="2">
        <f t="shared" si="37"/>
        <v>0</v>
      </c>
      <c r="X127" s="42"/>
      <c r="Y127" s="43"/>
      <c r="Z127" s="2">
        <f t="shared" si="38"/>
        <v>0</v>
      </c>
      <c r="AA127" s="42"/>
      <c r="AB127" s="43"/>
      <c r="AC127" s="2">
        <f t="shared" si="39"/>
        <v>0</v>
      </c>
      <c r="AD127" s="42"/>
      <c r="AE127" s="43"/>
      <c r="AF127" s="2">
        <f t="shared" si="40"/>
        <v>0</v>
      </c>
      <c r="AG127" s="42"/>
      <c r="AH127" s="43"/>
      <c r="AI127" s="2">
        <f t="shared" si="41"/>
        <v>0</v>
      </c>
      <c r="AJ127" s="97" t="str" cm="1">
        <f t="array" ref="AJ127">GETMENORVALOR(H127,K127,N127,Q127,T127,W127,Z127,AC127,AF127,AI127)</f>
        <v/>
      </c>
      <c r="AK127" s="98"/>
    </row>
    <row r="128" spans="1:37" hidden="1" x14ac:dyDescent="0.25">
      <c r="A128" s="10" t="str">
        <f t="shared" si="31"/>
        <v/>
      </c>
      <c r="B128" s="50"/>
      <c r="C128" s="39"/>
      <c r="D128" s="40"/>
      <c r="E128" s="41"/>
      <c r="F128" s="42"/>
      <c r="G128" s="43"/>
      <c r="H128" s="2">
        <f t="shared" si="32"/>
        <v>0</v>
      </c>
      <c r="I128" s="42"/>
      <c r="J128" s="43"/>
      <c r="K128" s="2">
        <f t="shared" si="33"/>
        <v>0</v>
      </c>
      <c r="L128" s="42"/>
      <c r="M128" s="43"/>
      <c r="N128" s="2">
        <f t="shared" si="34"/>
        <v>0</v>
      </c>
      <c r="O128" s="42"/>
      <c r="P128" s="43"/>
      <c r="Q128" s="2">
        <f t="shared" si="35"/>
        <v>0</v>
      </c>
      <c r="R128" s="42"/>
      <c r="S128" s="43"/>
      <c r="T128" s="2">
        <f t="shared" si="36"/>
        <v>0</v>
      </c>
      <c r="U128" s="42"/>
      <c r="V128" s="43"/>
      <c r="W128" s="2">
        <f t="shared" si="37"/>
        <v>0</v>
      </c>
      <c r="X128" s="42"/>
      <c r="Y128" s="43"/>
      <c r="Z128" s="2">
        <f t="shared" si="38"/>
        <v>0</v>
      </c>
      <c r="AA128" s="42"/>
      <c r="AB128" s="43"/>
      <c r="AC128" s="2">
        <f t="shared" si="39"/>
        <v>0</v>
      </c>
      <c r="AD128" s="42"/>
      <c r="AE128" s="43"/>
      <c r="AF128" s="2">
        <f t="shared" si="40"/>
        <v>0</v>
      </c>
      <c r="AG128" s="42"/>
      <c r="AH128" s="43"/>
      <c r="AI128" s="2">
        <f t="shared" si="41"/>
        <v>0</v>
      </c>
      <c r="AJ128" s="97" t="str" cm="1">
        <f t="array" ref="AJ128">GETMENORVALOR(H128,K128,N128,Q128,T128,W128,Z128,AC128,AF128,AI128)</f>
        <v/>
      </c>
      <c r="AK128" s="98"/>
    </row>
    <row r="129" spans="1:37" hidden="1" x14ac:dyDescent="0.25">
      <c r="A129" s="10" t="str">
        <f t="shared" si="31"/>
        <v/>
      </c>
      <c r="B129" s="50"/>
      <c r="C129" s="39"/>
      <c r="D129" s="40"/>
      <c r="E129" s="41"/>
      <c r="F129" s="42"/>
      <c r="G129" s="43"/>
      <c r="H129" s="2">
        <f t="shared" si="32"/>
        <v>0</v>
      </c>
      <c r="I129" s="42"/>
      <c r="J129" s="43"/>
      <c r="K129" s="2">
        <f t="shared" si="33"/>
        <v>0</v>
      </c>
      <c r="L129" s="42"/>
      <c r="M129" s="43"/>
      <c r="N129" s="2">
        <f t="shared" si="34"/>
        <v>0</v>
      </c>
      <c r="O129" s="42"/>
      <c r="P129" s="43"/>
      <c r="Q129" s="2">
        <f t="shared" si="35"/>
        <v>0</v>
      </c>
      <c r="R129" s="42"/>
      <c r="S129" s="43"/>
      <c r="T129" s="2">
        <f t="shared" si="36"/>
        <v>0</v>
      </c>
      <c r="U129" s="42"/>
      <c r="V129" s="43"/>
      <c r="W129" s="2">
        <f t="shared" si="37"/>
        <v>0</v>
      </c>
      <c r="X129" s="42"/>
      <c r="Y129" s="43"/>
      <c r="Z129" s="2">
        <f t="shared" si="38"/>
        <v>0</v>
      </c>
      <c r="AA129" s="42"/>
      <c r="AB129" s="43"/>
      <c r="AC129" s="2">
        <f t="shared" si="39"/>
        <v>0</v>
      </c>
      <c r="AD129" s="42"/>
      <c r="AE129" s="43"/>
      <c r="AF129" s="2">
        <f t="shared" si="40"/>
        <v>0</v>
      </c>
      <c r="AG129" s="42"/>
      <c r="AH129" s="43"/>
      <c r="AI129" s="2">
        <f t="shared" si="41"/>
        <v>0</v>
      </c>
      <c r="AJ129" s="97" t="str" cm="1">
        <f t="array" ref="AJ129">GETMENORVALOR(H129,K129,N129,Q129,T129,W129,Z129,AC129,AF129,AI129)</f>
        <v/>
      </c>
      <c r="AK129" s="98"/>
    </row>
    <row r="130" spans="1:37" hidden="1" x14ac:dyDescent="0.25">
      <c r="A130" s="10" t="str">
        <f t="shared" si="31"/>
        <v/>
      </c>
      <c r="B130" s="50"/>
      <c r="C130" s="39"/>
      <c r="D130" s="40"/>
      <c r="E130" s="41"/>
      <c r="F130" s="42"/>
      <c r="G130" s="43"/>
      <c r="H130" s="2">
        <f t="shared" si="32"/>
        <v>0</v>
      </c>
      <c r="I130" s="42"/>
      <c r="J130" s="43"/>
      <c r="K130" s="2">
        <f t="shared" si="33"/>
        <v>0</v>
      </c>
      <c r="L130" s="42"/>
      <c r="M130" s="43"/>
      <c r="N130" s="2">
        <f t="shared" si="34"/>
        <v>0</v>
      </c>
      <c r="O130" s="42"/>
      <c r="P130" s="43"/>
      <c r="Q130" s="2">
        <f t="shared" si="35"/>
        <v>0</v>
      </c>
      <c r="R130" s="42"/>
      <c r="S130" s="43"/>
      <c r="T130" s="2">
        <f t="shared" si="36"/>
        <v>0</v>
      </c>
      <c r="U130" s="42"/>
      <c r="V130" s="43"/>
      <c r="W130" s="2">
        <f t="shared" si="37"/>
        <v>0</v>
      </c>
      <c r="X130" s="42"/>
      <c r="Y130" s="43"/>
      <c r="Z130" s="2">
        <f t="shared" si="38"/>
        <v>0</v>
      </c>
      <c r="AA130" s="42"/>
      <c r="AB130" s="43"/>
      <c r="AC130" s="2">
        <f t="shared" si="39"/>
        <v>0</v>
      </c>
      <c r="AD130" s="42"/>
      <c r="AE130" s="43"/>
      <c r="AF130" s="2">
        <f t="shared" si="40"/>
        <v>0</v>
      </c>
      <c r="AG130" s="42"/>
      <c r="AH130" s="43"/>
      <c r="AI130" s="2">
        <f t="shared" si="41"/>
        <v>0</v>
      </c>
      <c r="AJ130" s="97" t="str" cm="1">
        <f t="array" ref="AJ130">GETMENORVALOR(H130,K130,N130,Q130,T130,W130,Z130,AC130,AF130,AI130)</f>
        <v/>
      </c>
      <c r="AK130" s="98"/>
    </row>
    <row r="131" spans="1:37" hidden="1" x14ac:dyDescent="0.25">
      <c r="A131" s="10" t="str">
        <f t="shared" si="31"/>
        <v/>
      </c>
      <c r="B131" s="50"/>
      <c r="C131" s="39"/>
      <c r="D131" s="40"/>
      <c r="E131" s="41"/>
      <c r="F131" s="42"/>
      <c r="G131" s="43"/>
      <c r="H131" s="2">
        <f t="shared" si="32"/>
        <v>0</v>
      </c>
      <c r="I131" s="42"/>
      <c r="J131" s="43"/>
      <c r="K131" s="2">
        <f t="shared" si="33"/>
        <v>0</v>
      </c>
      <c r="L131" s="42"/>
      <c r="M131" s="43"/>
      <c r="N131" s="2">
        <f t="shared" si="34"/>
        <v>0</v>
      </c>
      <c r="O131" s="42"/>
      <c r="P131" s="43"/>
      <c r="Q131" s="2">
        <f t="shared" si="35"/>
        <v>0</v>
      </c>
      <c r="R131" s="42"/>
      <c r="S131" s="43"/>
      <c r="T131" s="2">
        <f t="shared" si="36"/>
        <v>0</v>
      </c>
      <c r="U131" s="42"/>
      <c r="V131" s="43"/>
      <c r="W131" s="2">
        <f t="shared" si="37"/>
        <v>0</v>
      </c>
      <c r="X131" s="42"/>
      <c r="Y131" s="43"/>
      <c r="Z131" s="2">
        <f t="shared" si="38"/>
        <v>0</v>
      </c>
      <c r="AA131" s="42"/>
      <c r="AB131" s="43"/>
      <c r="AC131" s="2">
        <f t="shared" si="39"/>
        <v>0</v>
      </c>
      <c r="AD131" s="42"/>
      <c r="AE131" s="43"/>
      <c r="AF131" s="2">
        <f t="shared" si="40"/>
        <v>0</v>
      </c>
      <c r="AG131" s="42"/>
      <c r="AH131" s="43"/>
      <c r="AI131" s="2">
        <f t="shared" si="41"/>
        <v>0</v>
      </c>
      <c r="AJ131" s="97" t="str" cm="1">
        <f t="array" ref="AJ131">GETMENORVALOR(H131,K131,N131,Q131,T131,W131,Z131,AC131,AF131,AI131)</f>
        <v/>
      </c>
      <c r="AK131" s="98"/>
    </row>
    <row r="132" spans="1:37" hidden="1" x14ac:dyDescent="0.25">
      <c r="A132" s="10" t="str">
        <f t="shared" si="31"/>
        <v/>
      </c>
      <c r="B132" s="50"/>
      <c r="C132" s="39"/>
      <c r="D132" s="40"/>
      <c r="E132" s="41"/>
      <c r="F132" s="42"/>
      <c r="G132" s="43"/>
      <c r="H132" s="2">
        <f t="shared" si="32"/>
        <v>0</v>
      </c>
      <c r="I132" s="42"/>
      <c r="J132" s="43"/>
      <c r="K132" s="2">
        <f t="shared" si="33"/>
        <v>0</v>
      </c>
      <c r="L132" s="42"/>
      <c r="M132" s="43"/>
      <c r="N132" s="2">
        <f t="shared" si="34"/>
        <v>0</v>
      </c>
      <c r="O132" s="42"/>
      <c r="P132" s="43"/>
      <c r="Q132" s="2">
        <f t="shared" si="35"/>
        <v>0</v>
      </c>
      <c r="R132" s="42"/>
      <c r="S132" s="43"/>
      <c r="T132" s="2">
        <f t="shared" si="36"/>
        <v>0</v>
      </c>
      <c r="U132" s="42"/>
      <c r="V132" s="43"/>
      <c r="W132" s="2">
        <f t="shared" si="37"/>
        <v>0</v>
      </c>
      <c r="X132" s="42"/>
      <c r="Y132" s="43"/>
      <c r="Z132" s="2">
        <f t="shared" si="38"/>
        <v>0</v>
      </c>
      <c r="AA132" s="42"/>
      <c r="AB132" s="43"/>
      <c r="AC132" s="2">
        <f t="shared" si="39"/>
        <v>0</v>
      </c>
      <c r="AD132" s="42"/>
      <c r="AE132" s="43"/>
      <c r="AF132" s="2">
        <f t="shared" si="40"/>
        <v>0</v>
      </c>
      <c r="AG132" s="42"/>
      <c r="AH132" s="43"/>
      <c r="AI132" s="2">
        <f t="shared" si="41"/>
        <v>0</v>
      </c>
      <c r="AJ132" s="97" t="str" cm="1">
        <f t="array" ref="AJ132">GETMENORVALOR(H132,K132,N132,Q132,T132,W132,Z132,AC132,AF132,AI132)</f>
        <v/>
      </c>
      <c r="AK132" s="98"/>
    </row>
    <row r="133" spans="1:37" hidden="1" x14ac:dyDescent="0.25">
      <c r="A133" s="10" t="str">
        <f t="shared" si="31"/>
        <v/>
      </c>
      <c r="B133" s="50"/>
      <c r="C133" s="39"/>
      <c r="D133" s="40"/>
      <c r="E133" s="41"/>
      <c r="F133" s="42"/>
      <c r="G133" s="43"/>
      <c r="H133" s="2">
        <f t="shared" si="32"/>
        <v>0</v>
      </c>
      <c r="I133" s="42"/>
      <c r="J133" s="43"/>
      <c r="K133" s="2">
        <f t="shared" si="33"/>
        <v>0</v>
      </c>
      <c r="L133" s="42"/>
      <c r="M133" s="43"/>
      <c r="N133" s="2">
        <f t="shared" si="34"/>
        <v>0</v>
      </c>
      <c r="O133" s="42"/>
      <c r="P133" s="43"/>
      <c r="Q133" s="2">
        <f t="shared" si="35"/>
        <v>0</v>
      </c>
      <c r="R133" s="42"/>
      <c r="S133" s="43"/>
      <c r="T133" s="2">
        <f t="shared" si="36"/>
        <v>0</v>
      </c>
      <c r="U133" s="42"/>
      <c r="V133" s="43"/>
      <c r="W133" s="2">
        <f t="shared" si="37"/>
        <v>0</v>
      </c>
      <c r="X133" s="42"/>
      <c r="Y133" s="43"/>
      <c r="Z133" s="2">
        <f t="shared" si="38"/>
        <v>0</v>
      </c>
      <c r="AA133" s="42"/>
      <c r="AB133" s="43"/>
      <c r="AC133" s="2">
        <f t="shared" si="39"/>
        <v>0</v>
      </c>
      <c r="AD133" s="42"/>
      <c r="AE133" s="43"/>
      <c r="AF133" s="2">
        <f t="shared" si="40"/>
        <v>0</v>
      </c>
      <c r="AG133" s="42"/>
      <c r="AH133" s="43"/>
      <c r="AI133" s="2">
        <f t="shared" si="41"/>
        <v>0</v>
      </c>
      <c r="AJ133" s="97" t="str" cm="1">
        <f t="array" ref="AJ133">GETMENORVALOR(H133,K133,N133,Q133,T133,W133,Z133,AC133,AF133,AI133)</f>
        <v/>
      </c>
      <c r="AK133" s="98"/>
    </row>
    <row r="134" spans="1:37" hidden="1" x14ac:dyDescent="0.25">
      <c r="A134" s="10" t="str">
        <f t="shared" si="31"/>
        <v/>
      </c>
      <c r="B134" s="50"/>
      <c r="C134" s="39"/>
      <c r="D134" s="40"/>
      <c r="E134" s="41"/>
      <c r="F134" s="42"/>
      <c r="G134" s="43"/>
      <c r="H134" s="2">
        <f t="shared" si="32"/>
        <v>0</v>
      </c>
      <c r="I134" s="42"/>
      <c r="J134" s="43"/>
      <c r="K134" s="2">
        <f t="shared" si="33"/>
        <v>0</v>
      </c>
      <c r="L134" s="42"/>
      <c r="M134" s="43"/>
      <c r="N134" s="2">
        <f t="shared" si="34"/>
        <v>0</v>
      </c>
      <c r="O134" s="42"/>
      <c r="P134" s="43"/>
      <c r="Q134" s="2">
        <f t="shared" si="35"/>
        <v>0</v>
      </c>
      <c r="R134" s="42"/>
      <c r="S134" s="43"/>
      <c r="T134" s="2">
        <f t="shared" si="36"/>
        <v>0</v>
      </c>
      <c r="U134" s="42"/>
      <c r="V134" s="43"/>
      <c r="W134" s="2">
        <f t="shared" si="37"/>
        <v>0</v>
      </c>
      <c r="X134" s="42"/>
      <c r="Y134" s="43"/>
      <c r="Z134" s="2">
        <f t="shared" si="38"/>
        <v>0</v>
      </c>
      <c r="AA134" s="42"/>
      <c r="AB134" s="43"/>
      <c r="AC134" s="2">
        <f t="shared" si="39"/>
        <v>0</v>
      </c>
      <c r="AD134" s="42"/>
      <c r="AE134" s="43"/>
      <c r="AF134" s="2">
        <f t="shared" si="40"/>
        <v>0</v>
      </c>
      <c r="AG134" s="42"/>
      <c r="AH134" s="43"/>
      <c r="AI134" s="2">
        <f t="shared" si="41"/>
        <v>0</v>
      </c>
      <c r="AJ134" s="97" t="str" cm="1">
        <f t="array" ref="AJ134">GETMENORVALOR(H134,K134,N134,Q134,T134,W134,Z134,AC134,AF134,AI134)</f>
        <v/>
      </c>
      <c r="AK134" s="98"/>
    </row>
    <row r="135" spans="1:37" hidden="1" x14ac:dyDescent="0.25">
      <c r="A135" s="10" t="str">
        <f t="shared" si="31"/>
        <v/>
      </c>
      <c r="B135" s="50"/>
      <c r="C135" s="39"/>
      <c r="D135" s="40"/>
      <c r="E135" s="41"/>
      <c r="F135" s="42"/>
      <c r="G135" s="43"/>
      <c r="H135" s="2">
        <f t="shared" si="32"/>
        <v>0</v>
      </c>
      <c r="I135" s="42"/>
      <c r="J135" s="43"/>
      <c r="K135" s="2">
        <f t="shared" si="33"/>
        <v>0</v>
      </c>
      <c r="L135" s="42"/>
      <c r="M135" s="43"/>
      <c r="N135" s="2">
        <f t="shared" si="34"/>
        <v>0</v>
      </c>
      <c r="O135" s="42"/>
      <c r="P135" s="43"/>
      <c r="Q135" s="2">
        <f t="shared" si="35"/>
        <v>0</v>
      </c>
      <c r="R135" s="42"/>
      <c r="S135" s="43"/>
      <c r="T135" s="2">
        <f t="shared" si="36"/>
        <v>0</v>
      </c>
      <c r="U135" s="42"/>
      <c r="V135" s="43"/>
      <c r="W135" s="2">
        <f t="shared" si="37"/>
        <v>0</v>
      </c>
      <c r="X135" s="42"/>
      <c r="Y135" s="43"/>
      <c r="Z135" s="2">
        <f t="shared" si="38"/>
        <v>0</v>
      </c>
      <c r="AA135" s="42"/>
      <c r="AB135" s="43"/>
      <c r="AC135" s="2">
        <f t="shared" si="39"/>
        <v>0</v>
      </c>
      <c r="AD135" s="42"/>
      <c r="AE135" s="43"/>
      <c r="AF135" s="2">
        <f t="shared" si="40"/>
        <v>0</v>
      </c>
      <c r="AG135" s="42"/>
      <c r="AH135" s="43"/>
      <c r="AI135" s="2">
        <f t="shared" si="41"/>
        <v>0</v>
      </c>
      <c r="AJ135" s="97" t="str" cm="1">
        <f t="array" ref="AJ135">GETMENORVALOR(H135,K135,N135,Q135,T135,W135,Z135,AC135,AF135,AI135)</f>
        <v/>
      </c>
      <c r="AK135" s="98"/>
    </row>
    <row r="136" spans="1:37" hidden="1" x14ac:dyDescent="0.25">
      <c r="A136" s="10" t="str">
        <f t="shared" si="31"/>
        <v/>
      </c>
      <c r="B136" s="50"/>
      <c r="C136" s="39"/>
      <c r="D136" s="40"/>
      <c r="E136" s="41"/>
      <c r="F136" s="42"/>
      <c r="G136" s="43"/>
      <c r="H136" s="2">
        <f t="shared" si="32"/>
        <v>0</v>
      </c>
      <c r="I136" s="42"/>
      <c r="J136" s="43"/>
      <c r="K136" s="2">
        <f t="shared" si="33"/>
        <v>0</v>
      </c>
      <c r="L136" s="42"/>
      <c r="M136" s="43"/>
      <c r="N136" s="2">
        <f t="shared" si="34"/>
        <v>0</v>
      </c>
      <c r="O136" s="42"/>
      <c r="P136" s="43"/>
      <c r="Q136" s="2">
        <f t="shared" si="35"/>
        <v>0</v>
      </c>
      <c r="R136" s="42"/>
      <c r="S136" s="43"/>
      <c r="T136" s="2">
        <f t="shared" si="36"/>
        <v>0</v>
      </c>
      <c r="U136" s="42"/>
      <c r="V136" s="43"/>
      <c r="W136" s="2">
        <f t="shared" si="37"/>
        <v>0</v>
      </c>
      <c r="X136" s="42"/>
      <c r="Y136" s="43"/>
      <c r="Z136" s="2">
        <f t="shared" si="38"/>
        <v>0</v>
      </c>
      <c r="AA136" s="42"/>
      <c r="AB136" s="43"/>
      <c r="AC136" s="2">
        <f t="shared" si="39"/>
        <v>0</v>
      </c>
      <c r="AD136" s="42"/>
      <c r="AE136" s="43"/>
      <c r="AF136" s="2">
        <f t="shared" si="40"/>
        <v>0</v>
      </c>
      <c r="AG136" s="42"/>
      <c r="AH136" s="43"/>
      <c r="AI136" s="2">
        <f t="shared" si="41"/>
        <v>0</v>
      </c>
      <c r="AJ136" s="97" t="str" cm="1">
        <f t="array" ref="AJ136">GETMENORVALOR(H136,K136,N136,Q136,T136,W136,Z136,AC136,AF136,AI136)</f>
        <v/>
      </c>
      <c r="AK136" s="98"/>
    </row>
    <row r="137" spans="1:37" hidden="1" x14ac:dyDescent="0.25">
      <c r="A137" s="10" t="str">
        <f t="shared" si="31"/>
        <v/>
      </c>
      <c r="B137" s="50"/>
      <c r="C137" s="39"/>
      <c r="D137" s="40"/>
      <c r="E137" s="41"/>
      <c r="F137" s="42"/>
      <c r="G137" s="43"/>
      <c r="H137" s="2">
        <f t="shared" si="32"/>
        <v>0</v>
      </c>
      <c r="I137" s="42"/>
      <c r="J137" s="43"/>
      <c r="K137" s="2">
        <f t="shared" si="33"/>
        <v>0</v>
      </c>
      <c r="L137" s="42"/>
      <c r="M137" s="43"/>
      <c r="N137" s="2">
        <f t="shared" si="34"/>
        <v>0</v>
      </c>
      <c r="O137" s="42"/>
      <c r="P137" s="43"/>
      <c r="Q137" s="2">
        <f t="shared" si="35"/>
        <v>0</v>
      </c>
      <c r="R137" s="42"/>
      <c r="S137" s="43"/>
      <c r="T137" s="2">
        <f t="shared" si="36"/>
        <v>0</v>
      </c>
      <c r="U137" s="42"/>
      <c r="V137" s="43"/>
      <c r="W137" s="2">
        <f t="shared" si="37"/>
        <v>0</v>
      </c>
      <c r="X137" s="42"/>
      <c r="Y137" s="43"/>
      <c r="Z137" s="2">
        <f t="shared" si="38"/>
        <v>0</v>
      </c>
      <c r="AA137" s="42"/>
      <c r="AB137" s="43"/>
      <c r="AC137" s="2">
        <f t="shared" si="39"/>
        <v>0</v>
      </c>
      <c r="AD137" s="42"/>
      <c r="AE137" s="43"/>
      <c r="AF137" s="2">
        <f t="shared" si="40"/>
        <v>0</v>
      </c>
      <c r="AG137" s="42"/>
      <c r="AH137" s="43"/>
      <c r="AI137" s="2">
        <f t="shared" si="41"/>
        <v>0</v>
      </c>
      <c r="AJ137" s="97" t="str" cm="1">
        <f t="array" ref="AJ137">GETMENORVALOR(H137,K137,N137,Q137,T137,W137,Z137,AC137,AF137,AI137)</f>
        <v/>
      </c>
      <c r="AK137" s="98"/>
    </row>
    <row r="138" spans="1:37" hidden="1" x14ac:dyDescent="0.25">
      <c r="A138" s="10" t="str">
        <f t="shared" si="31"/>
        <v/>
      </c>
      <c r="B138" s="50"/>
      <c r="C138" s="39"/>
      <c r="D138" s="40"/>
      <c r="E138" s="41"/>
      <c r="F138" s="42"/>
      <c r="G138" s="43"/>
      <c r="H138" s="2">
        <f t="shared" si="32"/>
        <v>0</v>
      </c>
      <c r="I138" s="42"/>
      <c r="J138" s="43"/>
      <c r="K138" s="2">
        <f t="shared" si="33"/>
        <v>0</v>
      </c>
      <c r="L138" s="42"/>
      <c r="M138" s="43"/>
      <c r="N138" s="2">
        <f t="shared" si="34"/>
        <v>0</v>
      </c>
      <c r="O138" s="42"/>
      <c r="P138" s="43"/>
      <c r="Q138" s="2">
        <f t="shared" si="35"/>
        <v>0</v>
      </c>
      <c r="R138" s="42"/>
      <c r="S138" s="43"/>
      <c r="T138" s="2">
        <f t="shared" si="36"/>
        <v>0</v>
      </c>
      <c r="U138" s="42"/>
      <c r="V138" s="43"/>
      <c r="W138" s="2">
        <f t="shared" si="37"/>
        <v>0</v>
      </c>
      <c r="X138" s="42"/>
      <c r="Y138" s="43"/>
      <c r="Z138" s="2">
        <f t="shared" si="38"/>
        <v>0</v>
      </c>
      <c r="AA138" s="42"/>
      <c r="AB138" s="43"/>
      <c r="AC138" s="2">
        <f t="shared" si="39"/>
        <v>0</v>
      </c>
      <c r="AD138" s="42"/>
      <c r="AE138" s="43"/>
      <c r="AF138" s="2">
        <f t="shared" si="40"/>
        <v>0</v>
      </c>
      <c r="AG138" s="42"/>
      <c r="AH138" s="43"/>
      <c r="AI138" s="2">
        <f t="shared" si="41"/>
        <v>0</v>
      </c>
      <c r="AJ138" s="97" t="str" cm="1">
        <f t="array" ref="AJ138">GETMENORVALOR(H138,K138,N138,Q138,T138,W138,Z138,AC138,AF138,AI138)</f>
        <v/>
      </c>
      <c r="AK138" s="98"/>
    </row>
    <row r="139" spans="1:37" hidden="1" x14ac:dyDescent="0.25">
      <c r="A139" s="10" t="str">
        <f t="shared" si="31"/>
        <v/>
      </c>
      <c r="B139" s="50"/>
      <c r="C139" s="39"/>
      <c r="D139" s="40"/>
      <c r="E139" s="41"/>
      <c r="F139" s="42"/>
      <c r="G139" s="43"/>
      <c r="H139" s="2">
        <f t="shared" si="32"/>
        <v>0</v>
      </c>
      <c r="I139" s="42"/>
      <c r="J139" s="43"/>
      <c r="K139" s="2">
        <f t="shared" si="33"/>
        <v>0</v>
      </c>
      <c r="L139" s="42"/>
      <c r="M139" s="43"/>
      <c r="N139" s="2">
        <f t="shared" si="34"/>
        <v>0</v>
      </c>
      <c r="O139" s="42"/>
      <c r="P139" s="43"/>
      <c r="Q139" s="2">
        <f t="shared" si="35"/>
        <v>0</v>
      </c>
      <c r="R139" s="42"/>
      <c r="S139" s="43"/>
      <c r="T139" s="2">
        <f t="shared" si="36"/>
        <v>0</v>
      </c>
      <c r="U139" s="42"/>
      <c r="V139" s="43"/>
      <c r="W139" s="2">
        <f t="shared" si="37"/>
        <v>0</v>
      </c>
      <c r="X139" s="42"/>
      <c r="Y139" s="43"/>
      <c r="Z139" s="2">
        <f t="shared" si="38"/>
        <v>0</v>
      </c>
      <c r="AA139" s="42"/>
      <c r="AB139" s="43"/>
      <c r="AC139" s="2">
        <f t="shared" si="39"/>
        <v>0</v>
      </c>
      <c r="AD139" s="42"/>
      <c r="AE139" s="43"/>
      <c r="AF139" s="2">
        <f t="shared" si="40"/>
        <v>0</v>
      </c>
      <c r="AG139" s="42"/>
      <c r="AH139" s="43"/>
      <c r="AI139" s="2">
        <f t="shared" si="41"/>
        <v>0</v>
      </c>
      <c r="AJ139" s="97" t="str" cm="1">
        <f t="array" ref="AJ139">GETMENORVALOR(H139,K139,N139,Q139,T139,W139,Z139,AC139,AF139,AI139)</f>
        <v/>
      </c>
      <c r="AK139" s="98"/>
    </row>
    <row r="140" spans="1:37" hidden="1" x14ac:dyDescent="0.25">
      <c r="A140" s="10" t="str">
        <f t="shared" si="31"/>
        <v/>
      </c>
      <c r="B140" s="50"/>
      <c r="C140" s="39"/>
      <c r="D140" s="40"/>
      <c r="E140" s="41"/>
      <c r="F140" s="42"/>
      <c r="G140" s="43"/>
      <c r="H140" s="2">
        <f t="shared" si="32"/>
        <v>0</v>
      </c>
      <c r="I140" s="42"/>
      <c r="J140" s="43"/>
      <c r="K140" s="2">
        <f t="shared" si="33"/>
        <v>0</v>
      </c>
      <c r="L140" s="42"/>
      <c r="M140" s="43"/>
      <c r="N140" s="2">
        <f t="shared" si="34"/>
        <v>0</v>
      </c>
      <c r="O140" s="42"/>
      <c r="P140" s="43"/>
      <c r="Q140" s="2">
        <f t="shared" si="35"/>
        <v>0</v>
      </c>
      <c r="R140" s="42"/>
      <c r="S140" s="43"/>
      <c r="T140" s="2">
        <f t="shared" si="36"/>
        <v>0</v>
      </c>
      <c r="U140" s="42"/>
      <c r="V140" s="43"/>
      <c r="W140" s="2">
        <f t="shared" si="37"/>
        <v>0</v>
      </c>
      <c r="X140" s="42"/>
      <c r="Y140" s="43"/>
      <c r="Z140" s="2">
        <f t="shared" si="38"/>
        <v>0</v>
      </c>
      <c r="AA140" s="42"/>
      <c r="AB140" s="43"/>
      <c r="AC140" s="2">
        <f t="shared" si="39"/>
        <v>0</v>
      </c>
      <c r="AD140" s="42"/>
      <c r="AE140" s="43"/>
      <c r="AF140" s="2">
        <f t="shared" si="40"/>
        <v>0</v>
      </c>
      <c r="AG140" s="42"/>
      <c r="AH140" s="43"/>
      <c r="AI140" s="2">
        <f t="shared" si="41"/>
        <v>0</v>
      </c>
      <c r="AJ140" s="97" t="str" cm="1">
        <f t="array" ref="AJ140">GETMENORVALOR(H140,K140,N140,Q140,T140,W140,Z140,AC140,AF140,AI140)</f>
        <v/>
      </c>
      <c r="AK140" s="98"/>
    </row>
    <row r="141" spans="1:37" hidden="1" x14ac:dyDescent="0.25">
      <c r="A141" s="10" t="str">
        <f t="shared" si="31"/>
        <v/>
      </c>
      <c r="B141" s="50"/>
      <c r="C141" s="39"/>
      <c r="D141" s="40"/>
      <c r="E141" s="41"/>
      <c r="F141" s="42"/>
      <c r="G141" s="43"/>
      <c r="H141" s="2">
        <f t="shared" si="32"/>
        <v>0</v>
      </c>
      <c r="I141" s="42"/>
      <c r="J141" s="43"/>
      <c r="K141" s="2">
        <f t="shared" si="33"/>
        <v>0</v>
      </c>
      <c r="L141" s="42"/>
      <c r="M141" s="43"/>
      <c r="N141" s="2">
        <f t="shared" si="34"/>
        <v>0</v>
      </c>
      <c r="O141" s="42"/>
      <c r="P141" s="43"/>
      <c r="Q141" s="2">
        <f t="shared" si="35"/>
        <v>0</v>
      </c>
      <c r="R141" s="42"/>
      <c r="S141" s="43"/>
      <c r="T141" s="2">
        <f t="shared" si="36"/>
        <v>0</v>
      </c>
      <c r="U141" s="42"/>
      <c r="V141" s="43"/>
      <c r="W141" s="2">
        <f t="shared" si="37"/>
        <v>0</v>
      </c>
      <c r="X141" s="42"/>
      <c r="Y141" s="43"/>
      <c r="Z141" s="2">
        <f t="shared" si="38"/>
        <v>0</v>
      </c>
      <c r="AA141" s="42"/>
      <c r="AB141" s="43"/>
      <c r="AC141" s="2">
        <f t="shared" si="39"/>
        <v>0</v>
      </c>
      <c r="AD141" s="42"/>
      <c r="AE141" s="43"/>
      <c r="AF141" s="2">
        <f t="shared" si="40"/>
        <v>0</v>
      </c>
      <c r="AG141" s="42"/>
      <c r="AH141" s="43"/>
      <c r="AI141" s="2">
        <f t="shared" si="41"/>
        <v>0</v>
      </c>
      <c r="AJ141" s="97" t="str" cm="1">
        <f t="array" ref="AJ141">GETMENORVALOR(H141,K141,N141,Q141,T141,W141,Z141,AC141,AF141,AI141)</f>
        <v/>
      </c>
      <c r="AK141" s="98"/>
    </row>
    <row r="142" spans="1:37" hidden="1" x14ac:dyDescent="0.25">
      <c r="A142" s="10" t="str">
        <f t="shared" si="31"/>
        <v/>
      </c>
      <c r="B142" s="50"/>
      <c r="C142" s="39"/>
      <c r="D142" s="40"/>
      <c r="E142" s="41"/>
      <c r="F142" s="42"/>
      <c r="G142" s="43"/>
      <c r="H142" s="2">
        <f t="shared" si="32"/>
        <v>0</v>
      </c>
      <c r="I142" s="42"/>
      <c r="J142" s="43"/>
      <c r="K142" s="2">
        <f t="shared" si="33"/>
        <v>0</v>
      </c>
      <c r="L142" s="42"/>
      <c r="M142" s="43"/>
      <c r="N142" s="2">
        <f t="shared" si="34"/>
        <v>0</v>
      </c>
      <c r="O142" s="42"/>
      <c r="P142" s="43"/>
      <c r="Q142" s="2">
        <f t="shared" si="35"/>
        <v>0</v>
      </c>
      <c r="R142" s="42"/>
      <c r="S142" s="43"/>
      <c r="T142" s="2">
        <f t="shared" si="36"/>
        <v>0</v>
      </c>
      <c r="U142" s="42"/>
      <c r="V142" s="43"/>
      <c r="W142" s="2">
        <f t="shared" si="37"/>
        <v>0</v>
      </c>
      <c r="X142" s="42"/>
      <c r="Y142" s="43"/>
      <c r="Z142" s="2">
        <f t="shared" si="38"/>
        <v>0</v>
      </c>
      <c r="AA142" s="42"/>
      <c r="AB142" s="43"/>
      <c r="AC142" s="2">
        <f t="shared" si="39"/>
        <v>0</v>
      </c>
      <c r="AD142" s="42"/>
      <c r="AE142" s="43"/>
      <c r="AF142" s="2">
        <f t="shared" si="40"/>
        <v>0</v>
      </c>
      <c r="AG142" s="42"/>
      <c r="AH142" s="43"/>
      <c r="AI142" s="2">
        <f t="shared" si="41"/>
        <v>0</v>
      </c>
      <c r="AJ142" s="97" t="str" cm="1">
        <f t="array" ref="AJ142">GETMENORVALOR(H142,K142,N142,Q142,T142,W142,Z142,AC142,AF142,AI142)</f>
        <v/>
      </c>
      <c r="AK142" s="98"/>
    </row>
    <row r="143" spans="1:37" hidden="1" x14ac:dyDescent="0.25">
      <c r="A143" s="10" t="str">
        <f t="shared" si="31"/>
        <v/>
      </c>
      <c r="B143" s="50"/>
      <c r="C143" s="39"/>
      <c r="D143" s="40"/>
      <c r="E143" s="41"/>
      <c r="F143" s="42"/>
      <c r="G143" s="43"/>
      <c r="H143" s="2">
        <f t="shared" si="32"/>
        <v>0</v>
      </c>
      <c r="I143" s="42"/>
      <c r="J143" s="43"/>
      <c r="K143" s="2">
        <f t="shared" si="33"/>
        <v>0</v>
      </c>
      <c r="L143" s="42"/>
      <c r="M143" s="43"/>
      <c r="N143" s="2">
        <f t="shared" si="34"/>
        <v>0</v>
      </c>
      <c r="O143" s="42"/>
      <c r="P143" s="43"/>
      <c r="Q143" s="2">
        <f t="shared" si="35"/>
        <v>0</v>
      </c>
      <c r="R143" s="42"/>
      <c r="S143" s="43"/>
      <c r="T143" s="2">
        <f t="shared" si="36"/>
        <v>0</v>
      </c>
      <c r="U143" s="42"/>
      <c r="V143" s="43"/>
      <c r="W143" s="2">
        <f t="shared" si="37"/>
        <v>0</v>
      </c>
      <c r="X143" s="42"/>
      <c r="Y143" s="43"/>
      <c r="Z143" s="2">
        <f t="shared" si="38"/>
        <v>0</v>
      </c>
      <c r="AA143" s="42"/>
      <c r="AB143" s="43"/>
      <c r="AC143" s="2">
        <f t="shared" si="39"/>
        <v>0</v>
      </c>
      <c r="AD143" s="42"/>
      <c r="AE143" s="43"/>
      <c r="AF143" s="2">
        <f t="shared" si="40"/>
        <v>0</v>
      </c>
      <c r="AG143" s="42"/>
      <c r="AH143" s="43"/>
      <c r="AI143" s="2">
        <f t="shared" si="41"/>
        <v>0</v>
      </c>
      <c r="AJ143" s="97" t="str" cm="1">
        <f t="array" ref="AJ143">GETMENORVALOR(H143,K143,N143,Q143,T143,W143,Z143,AC143,AF143,AI143)</f>
        <v/>
      </c>
      <c r="AK143" s="98"/>
    </row>
    <row r="144" spans="1:37" hidden="1" x14ac:dyDescent="0.25">
      <c r="A144" s="10" t="str">
        <f t="shared" si="31"/>
        <v/>
      </c>
      <c r="B144" s="50"/>
      <c r="C144" s="39"/>
      <c r="D144" s="40"/>
      <c r="E144" s="41"/>
      <c r="F144" s="42"/>
      <c r="G144" s="43"/>
      <c r="H144" s="2">
        <f t="shared" si="32"/>
        <v>0</v>
      </c>
      <c r="I144" s="42"/>
      <c r="J144" s="43"/>
      <c r="K144" s="2">
        <f t="shared" si="33"/>
        <v>0</v>
      </c>
      <c r="L144" s="42"/>
      <c r="M144" s="43"/>
      <c r="N144" s="2">
        <f t="shared" si="34"/>
        <v>0</v>
      </c>
      <c r="O144" s="42"/>
      <c r="P144" s="43"/>
      <c r="Q144" s="2">
        <f t="shared" si="35"/>
        <v>0</v>
      </c>
      <c r="R144" s="42"/>
      <c r="S144" s="43"/>
      <c r="T144" s="2">
        <f t="shared" si="36"/>
        <v>0</v>
      </c>
      <c r="U144" s="42"/>
      <c r="V144" s="43"/>
      <c r="W144" s="2">
        <f t="shared" si="37"/>
        <v>0</v>
      </c>
      <c r="X144" s="42"/>
      <c r="Y144" s="43"/>
      <c r="Z144" s="2">
        <f t="shared" si="38"/>
        <v>0</v>
      </c>
      <c r="AA144" s="42"/>
      <c r="AB144" s="43"/>
      <c r="AC144" s="2">
        <f t="shared" si="39"/>
        <v>0</v>
      </c>
      <c r="AD144" s="42"/>
      <c r="AE144" s="43"/>
      <c r="AF144" s="2">
        <f t="shared" si="40"/>
        <v>0</v>
      </c>
      <c r="AG144" s="42"/>
      <c r="AH144" s="43"/>
      <c r="AI144" s="2">
        <f t="shared" si="41"/>
        <v>0</v>
      </c>
      <c r="AJ144" s="97" t="str" cm="1">
        <f t="array" ref="AJ144">GETMENORVALOR(H144,K144,N144,Q144,T144,W144,Z144,AC144,AF144,AI144)</f>
        <v/>
      </c>
      <c r="AK144" s="98"/>
    </row>
    <row r="145" spans="1:37" hidden="1" x14ac:dyDescent="0.25">
      <c r="A145" s="10" t="str">
        <f t="shared" si="31"/>
        <v/>
      </c>
      <c r="B145" s="50"/>
      <c r="C145" s="39"/>
      <c r="D145" s="40"/>
      <c r="E145" s="41"/>
      <c r="F145" s="42"/>
      <c r="G145" s="43"/>
      <c r="H145" s="2">
        <f t="shared" si="32"/>
        <v>0</v>
      </c>
      <c r="I145" s="42"/>
      <c r="J145" s="43"/>
      <c r="K145" s="2">
        <f t="shared" si="33"/>
        <v>0</v>
      </c>
      <c r="L145" s="42"/>
      <c r="M145" s="43"/>
      <c r="N145" s="2">
        <f t="shared" si="34"/>
        <v>0</v>
      </c>
      <c r="O145" s="42"/>
      <c r="P145" s="43"/>
      <c r="Q145" s="2">
        <f t="shared" si="35"/>
        <v>0</v>
      </c>
      <c r="R145" s="42"/>
      <c r="S145" s="43"/>
      <c r="T145" s="2">
        <f t="shared" si="36"/>
        <v>0</v>
      </c>
      <c r="U145" s="42"/>
      <c r="V145" s="43"/>
      <c r="W145" s="2">
        <f t="shared" si="37"/>
        <v>0</v>
      </c>
      <c r="X145" s="42"/>
      <c r="Y145" s="43"/>
      <c r="Z145" s="2">
        <f t="shared" si="38"/>
        <v>0</v>
      </c>
      <c r="AA145" s="42"/>
      <c r="AB145" s="43"/>
      <c r="AC145" s="2">
        <f t="shared" si="39"/>
        <v>0</v>
      </c>
      <c r="AD145" s="42"/>
      <c r="AE145" s="43"/>
      <c r="AF145" s="2">
        <f t="shared" si="40"/>
        <v>0</v>
      </c>
      <c r="AG145" s="42"/>
      <c r="AH145" s="43"/>
      <c r="AI145" s="2">
        <f t="shared" si="41"/>
        <v>0</v>
      </c>
      <c r="AJ145" s="97" t="str" cm="1">
        <f t="array" ref="AJ145">GETMENORVALOR(H145,K145,N145,Q145,T145,W145,Z145,AC145,AF145,AI145)</f>
        <v/>
      </c>
      <c r="AK145" s="98"/>
    </row>
    <row r="146" spans="1:37" hidden="1" x14ac:dyDescent="0.25">
      <c r="A146" s="10" t="str">
        <f t="shared" si="31"/>
        <v/>
      </c>
      <c r="B146" s="50"/>
      <c r="C146" s="39"/>
      <c r="D146" s="40"/>
      <c r="E146" s="41"/>
      <c r="F146" s="42"/>
      <c r="G146" s="43"/>
      <c r="H146" s="2">
        <f t="shared" ref="H146:H177" si="42">IF($A146&lt;&gt;"", F146 * $D146 * (1 - G146), 0)</f>
        <v>0</v>
      </c>
      <c r="I146" s="42"/>
      <c r="J146" s="43"/>
      <c r="K146" s="2">
        <f t="shared" ref="K146:K177" si="43">IF($A146&lt;&gt;"", I146 * $D146 * (1 - J146), 0)</f>
        <v>0</v>
      </c>
      <c r="L146" s="42"/>
      <c r="M146" s="43"/>
      <c r="N146" s="2">
        <f t="shared" ref="N146:N177" si="44">IF($A146&lt;&gt;"", L146 * $D146 * (1 - M146), 0)</f>
        <v>0</v>
      </c>
      <c r="O146" s="42"/>
      <c r="P146" s="43"/>
      <c r="Q146" s="2">
        <f t="shared" ref="Q146:Q177" si="45">IF($A146&lt;&gt;"", O146 * $D146 * (1 - P146), 0)</f>
        <v>0</v>
      </c>
      <c r="R146" s="42"/>
      <c r="S146" s="43"/>
      <c r="T146" s="2">
        <f t="shared" ref="T146:T177" si="46">IF($A146&lt;&gt;"", R146 * $D146 * (1 - S146), 0)</f>
        <v>0</v>
      </c>
      <c r="U146" s="42"/>
      <c r="V146" s="43"/>
      <c r="W146" s="2">
        <f t="shared" ref="W146:W177" si="47">IF($A146&lt;&gt;"", U146 * $D146 * (1 - V146), 0)</f>
        <v>0</v>
      </c>
      <c r="X146" s="42"/>
      <c r="Y146" s="43"/>
      <c r="Z146" s="2">
        <f t="shared" ref="Z146:Z177" si="48">IF($A146&lt;&gt;"", X146 * $D146 * (1 - Y146), 0)</f>
        <v>0</v>
      </c>
      <c r="AA146" s="42"/>
      <c r="AB146" s="43"/>
      <c r="AC146" s="2">
        <f t="shared" ref="AC146:AC177" si="49">IF($A146&lt;&gt;"", AA146 * $D146 * (1 - AB146), 0)</f>
        <v>0</v>
      </c>
      <c r="AD146" s="42"/>
      <c r="AE146" s="43"/>
      <c r="AF146" s="2">
        <f t="shared" ref="AF146:AF177" si="50">IF($A146&lt;&gt;"", AD146 * $D146 * (1 - AE146), 0)</f>
        <v>0</v>
      </c>
      <c r="AG146" s="42"/>
      <c r="AH146" s="43"/>
      <c r="AI146" s="2">
        <f t="shared" ref="AI146:AI177" si="51">IF($A146&lt;&gt;"", AG146 * $D146 * (1 - AH146), 0)</f>
        <v>0</v>
      </c>
      <c r="AJ146" s="97" t="str" cm="1">
        <f t="array" ref="AJ146">GETMENORVALOR(H146,K146,N146,Q146,T146,W146,Z146,AC146,AF146,AI146)</f>
        <v/>
      </c>
      <c r="AK146" s="98"/>
    </row>
    <row r="147" spans="1:37" hidden="1" x14ac:dyDescent="0.25">
      <c r="A147" s="10" t="str">
        <f t="shared" ref="A147:A210" si="52">IF(AND(ISBLANK(B147), ISBLANK(C147)), "", B147 &amp; ROW(A130))</f>
        <v/>
      </c>
      <c r="B147" s="50"/>
      <c r="C147" s="39"/>
      <c r="D147" s="40"/>
      <c r="E147" s="41"/>
      <c r="F147" s="42"/>
      <c r="G147" s="43"/>
      <c r="H147" s="2">
        <f t="shared" si="42"/>
        <v>0</v>
      </c>
      <c r="I147" s="42"/>
      <c r="J147" s="43"/>
      <c r="K147" s="2">
        <f t="shared" si="43"/>
        <v>0</v>
      </c>
      <c r="L147" s="42"/>
      <c r="M147" s="43"/>
      <c r="N147" s="2">
        <f t="shared" si="44"/>
        <v>0</v>
      </c>
      <c r="O147" s="42"/>
      <c r="P147" s="43"/>
      <c r="Q147" s="2">
        <f t="shared" si="45"/>
        <v>0</v>
      </c>
      <c r="R147" s="42"/>
      <c r="S147" s="43"/>
      <c r="T147" s="2">
        <f t="shared" si="46"/>
        <v>0</v>
      </c>
      <c r="U147" s="42"/>
      <c r="V147" s="43"/>
      <c r="W147" s="2">
        <f t="shared" si="47"/>
        <v>0</v>
      </c>
      <c r="X147" s="42"/>
      <c r="Y147" s="43"/>
      <c r="Z147" s="2">
        <f t="shared" si="48"/>
        <v>0</v>
      </c>
      <c r="AA147" s="42"/>
      <c r="AB147" s="43"/>
      <c r="AC147" s="2">
        <f t="shared" si="49"/>
        <v>0</v>
      </c>
      <c r="AD147" s="42"/>
      <c r="AE147" s="43"/>
      <c r="AF147" s="2">
        <f t="shared" si="50"/>
        <v>0</v>
      </c>
      <c r="AG147" s="42"/>
      <c r="AH147" s="43"/>
      <c r="AI147" s="2">
        <f t="shared" si="51"/>
        <v>0</v>
      </c>
      <c r="AJ147" s="97" t="str" cm="1">
        <f t="array" ref="AJ147">GETMENORVALOR(H147,K147,N147,Q147,T147,W147,Z147,AC147,AF147,AI147)</f>
        <v/>
      </c>
      <c r="AK147" s="98"/>
    </row>
    <row r="148" spans="1:37" hidden="1" x14ac:dyDescent="0.25">
      <c r="A148" s="10" t="str">
        <f t="shared" si="52"/>
        <v/>
      </c>
      <c r="B148" s="50"/>
      <c r="C148" s="39"/>
      <c r="D148" s="40"/>
      <c r="E148" s="41"/>
      <c r="F148" s="42"/>
      <c r="G148" s="43"/>
      <c r="H148" s="2">
        <f t="shared" si="42"/>
        <v>0</v>
      </c>
      <c r="I148" s="42"/>
      <c r="J148" s="43"/>
      <c r="K148" s="2">
        <f t="shared" si="43"/>
        <v>0</v>
      </c>
      <c r="L148" s="42"/>
      <c r="M148" s="43"/>
      <c r="N148" s="2">
        <f t="shared" si="44"/>
        <v>0</v>
      </c>
      <c r="O148" s="42"/>
      <c r="P148" s="43"/>
      <c r="Q148" s="2">
        <f t="shared" si="45"/>
        <v>0</v>
      </c>
      <c r="R148" s="42"/>
      <c r="S148" s="43"/>
      <c r="T148" s="2">
        <f t="shared" si="46"/>
        <v>0</v>
      </c>
      <c r="U148" s="42"/>
      <c r="V148" s="43"/>
      <c r="W148" s="2">
        <f t="shared" si="47"/>
        <v>0</v>
      </c>
      <c r="X148" s="42"/>
      <c r="Y148" s="43"/>
      <c r="Z148" s="2">
        <f t="shared" si="48"/>
        <v>0</v>
      </c>
      <c r="AA148" s="42"/>
      <c r="AB148" s="43"/>
      <c r="AC148" s="2">
        <f t="shared" si="49"/>
        <v>0</v>
      </c>
      <c r="AD148" s="42"/>
      <c r="AE148" s="43"/>
      <c r="AF148" s="2">
        <f t="shared" si="50"/>
        <v>0</v>
      </c>
      <c r="AG148" s="42"/>
      <c r="AH148" s="43"/>
      <c r="AI148" s="2">
        <f t="shared" si="51"/>
        <v>0</v>
      </c>
      <c r="AJ148" s="97" t="str" cm="1">
        <f t="array" ref="AJ148">GETMENORVALOR(H148,K148,N148,Q148,T148,W148,Z148,AC148,AF148,AI148)</f>
        <v/>
      </c>
      <c r="AK148" s="98"/>
    </row>
    <row r="149" spans="1:37" hidden="1" x14ac:dyDescent="0.25">
      <c r="A149" s="10" t="str">
        <f t="shared" si="52"/>
        <v/>
      </c>
      <c r="B149" s="50"/>
      <c r="C149" s="39"/>
      <c r="D149" s="40"/>
      <c r="E149" s="41"/>
      <c r="F149" s="42"/>
      <c r="G149" s="43"/>
      <c r="H149" s="2">
        <f t="shared" si="42"/>
        <v>0</v>
      </c>
      <c r="I149" s="42"/>
      <c r="J149" s="43"/>
      <c r="K149" s="2">
        <f t="shared" si="43"/>
        <v>0</v>
      </c>
      <c r="L149" s="42"/>
      <c r="M149" s="43"/>
      <c r="N149" s="2">
        <f t="shared" si="44"/>
        <v>0</v>
      </c>
      <c r="O149" s="42"/>
      <c r="P149" s="43"/>
      <c r="Q149" s="2">
        <f t="shared" si="45"/>
        <v>0</v>
      </c>
      <c r="R149" s="42"/>
      <c r="S149" s="43"/>
      <c r="T149" s="2">
        <f t="shared" si="46"/>
        <v>0</v>
      </c>
      <c r="U149" s="42"/>
      <c r="V149" s="43"/>
      <c r="W149" s="2">
        <f t="shared" si="47"/>
        <v>0</v>
      </c>
      <c r="X149" s="42"/>
      <c r="Y149" s="43"/>
      <c r="Z149" s="2">
        <f t="shared" si="48"/>
        <v>0</v>
      </c>
      <c r="AA149" s="42"/>
      <c r="AB149" s="43"/>
      <c r="AC149" s="2">
        <f t="shared" si="49"/>
        <v>0</v>
      </c>
      <c r="AD149" s="42"/>
      <c r="AE149" s="43"/>
      <c r="AF149" s="2">
        <f t="shared" si="50"/>
        <v>0</v>
      </c>
      <c r="AG149" s="42"/>
      <c r="AH149" s="43"/>
      <c r="AI149" s="2">
        <f t="shared" si="51"/>
        <v>0</v>
      </c>
      <c r="AJ149" s="97" t="str" cm="1">
        <f t="array" ref="AJ149">GETMENORVALOR(H149,K149,N149,Q149,T149,W149,Z149,AC149,AF149,AI149)</f>
        <v/>
      </c>
      <c r="AK149" s="98"/>
    </row>
    <row r="150" spans="1:37" hidden="1" x14ac:dyDescent="0.25">
      <c r="A150" s="10" t="str">
        <f t="shared" si="52"/>
        <v/>
      </c>
      <c r="B150" s="50"/>
      <c r="C150" s="39"/>
      <c r="D150" s="40"/>
      <c r="E150" s="41"/>
      <c r="F150" s="42"/>
      <c r="G150" s="43"/>
      <c r="H150" s="2">
        <f t="shared" si="42"/>
        <v>0</v>
      </c>
      <c r="I150" s="42"/>
      <c r="J150" s="43"/>
      <c r="K150" s="2">
        <f t="shared" si="43"/>
        <v>0</v>
      </c>
      <c r="L150" s="42"/>
      <c r="M150" s="43"/>
      <c r="N150" s="2">
        <f t="shared" si="44"/>
        <v>0</v>
      </c>
      <c r="O150" s="42"/>
      <c r="P150" s="43"/>
      <c r="Q150" s="2">
        <f t="shared" si="45"/>
        <v>0</v>
      </c>
      <c r="R150" s="42"/>
      <c r="S150" s="43"/>
      <c r="T150" s="2">
        <f t="shared" si="46"/>
        <v>0</v>
      </c>
      <c r="U150" s="42"/>
      <c r="V150" s="43"/>
      <c r="W150" s="2">
        <f t="shared" si="47"/>
        <v>0</v>
      </c>
      <c r="X150" s="42"/>
      <c r="Y150" s="43"/>
      <c r="Z150" s="2">
        <f t="shared" si="48"/>
        <v>0</v>
      </c>
      <c r="AA150" s="42"/>
      <c r="AB150" s="43"/>
      <c r="AC150" s="2">
        <f t="shared" si="49"/>
        <v>0</v>
      </c>
      <c r="AD150" s="42"/>
      <c r="AE150" s="43"/>
      <c r="AF150" s="2">
        <f t="shared" si="50"/>
        <v>0</v>
      </c>
      <c r="AG150" s="42"/>
      <c r="AH150" s="43"/>
      <c r="AI150" s="2">
        <f t="shared" si="51"/>
        <v>0</v>
      </c>
      <c r="AJ150" s="97" t="str" cm="1">
        <f t="array" ref="AJ150">GETMENORVALOR(H150,K150,N150,Q150,T150,W150,Z150,AC150,AF150,AI150)</f>
        <v/>
      </c>
      <c r="AK150" s="98"/>
    </row>
    <row r="151" spans="1:37" hidden="1" x14ac:dyDescent="0.25">
      <c r="A151" s="10" t="str">
        <f t="shared" si="52"/>
        <v/>
      </c>
      <c r="B151" s="50"/>
      <c r="C151" s="39"/>
      <c r="D151" s="40"/>
      <c r="E151" s="41"/>
      <c r="F151" s="42"/>
      <c r="G151" s="43"/>
      <c r="H151" s="2">
        <f t="shared" si="42"/>
        <v>0</v>
      </c>
      <c r="I151" s="42"/>
      <c r="J151" s="43"/>
      <c r="K151" s="2">
        <f t="shared" si="43"/>
        <v>0</v>
      </c>
      <c r="L151" s="42"/>
      <c r="M151" s="43"/>
      <c r="N151" s="2">
        <f t="shared" si="44"/>
        <v>0</v>
      </c>
      <c r="O151" s="42"/>
      <c r="P151" s="43"/>
      <c r="Q151" s="2">
        <f t="shared" si="45"/>
        <v>0</v>
      </c>
      <c r="R151" s="42"/>
      <c r="S151" s="43"/>
      <c r="T151" s="2">
        <f t="shared" si="46"/>
        <v>0</v>
      </c>
      <c r="U151" s="42"/>
      <c r="V151" s="43"/>
      <c r="W151" s="2">
        <f t="shared" si="47"/>
        <v>0</v>
      </c>
      <c r="X151" s="42"/>
      <c r="Y151" s="43"/>
      <c r="Z151" s="2">
        <f t="shared" si="48"/>
        <v>0</v>
      </c>
      <c r="AA151" s="42"/>
      <c r="AB151" s="43"/>
      <c r="AC151" s="2">
        <f t="shared" si="49"/>
        <v>0</v>
      </c>
      <c r="AD151" s="42"/>
      <c r="AE151" s="43"/>
      <c r="AF151" s="2">
        <f t="shared" si="50"/>
        <v>0</v>
      </c>
      <c r="AG151" s="42"/>
      <c r="AH151" s="43"/>
      <c r="AI151" s="2">
        <f t="shared" si="51"/>
        <v>0</v>
      </c>
      <c r="AJ151" s="97" t="str" cm="1">
        <f t="array" ref="AJ151">GETMENORVALOR(H151,K151,N151,Q151,T151,W151,Z151,AC151,AF151,AI151)</f>
        <v/>
      </c>
      <c r="AK151" s="98"/>
    </row>
    <row r="152" spans="1:37" hidden="1" x14ac:dyDescent="0.25">
      <c r="A152" s="10" t="str">
        <f t="shared" si="52"/>
        <v/>
      </c>
      <c r="B152" s="50"/>
      <c r="C152" s="39"/>
      <c r="D152" s="40"/>
      <c r="E152" s="41"/>
      <c r="F152" s="42"/>
      <c r="G152" s="43"/>
      <c r="H152" s="2">
        <f t="shared" si="42"/>
        <v>0</v>
      </c>
      <c r="I152" s="42"/>
      <c r="J152" s="43"/>
      <c r="K152" s="2">
        <f t="shared" si="43"/>
        <v>0</v>
      </c>
      <c r="L152" s="42"/>
      <c r="M152" s="43"/>
      <c r="N152" s="2">
        <f t="shared" si="44"/>
        <v>0</v>
      </c>
      <c r="O152" s="42"/>
      <c r="P152" s="43"/>
      <c r="Q152" s="2">
        <f t="shared" si="45"/>
        <v>0</v>
      </c>
      <c r="R152" s="42"/>
      <c r="S152" s="43"/>
      <c r="T152" s="2">
        <f t="shared" si="46"/>
        <v>0</v>
      </c>
      <c r="U152" s="42"/>
      <c r="V152" s="43"/>
      <c r="W152" s="2">
        <f t="shared" si="47"/>
        <v>0</v>
      </c>
      <c r="X152" s="42"/>
      <c r="Y152" s="43"/>
      <c r="Z152" s="2">
        <f t="shared" si="48"/>
        <v>0</v>
      </c>
      <c r="AA152" s="42"/>
      <c r="AB152" s="43"/>
      <c r="AC152" s="2">
        <f t="shared" si="49"/>
        <v>0</v>
      </c>
      <c r="AD152" s="42"/>
      <c r="AE152" s="43"/>
      <c r="AF152" s="2">
        <f t="shared" si="50"/>
        <v>0</v>
      </c>
      <c r="AG152" s="42"/>
      <c r="AH152" s="43"/>
      <c r="AI152" s="2">
        <f t="shared" si="51"/>
        <v>0</v>
      </c>
      <c r="AJ152" s="97" t="str" cm="1">
        <f t="array" ref="AJ152">GETMENORVALOR(H152,K152,N152,Q152,T152,W152,Z152,AC152,AF152,AI152)</f>
        <v/>
      </c>
      <c r="AK152" s="98"/>
    </row>
    <row r="153" spans="1:37" hidden="1" x14ac:dyDescent="0.25">
      <c r="A153" s="10" t="str">
        <f t="shared" si="52"/>
        <v/>
      </c>
      <c r="B153" s="50"/>
      <c r="C153" s="39"/>
      <c r="D153" s="40"/>
      <c r="E153" s="41"/>
      <c r="F153" s="42"/>
      <c r="G153" s="43"/>
      <c r="H153" s="2">
        <f t="shared" si="42"/>
        <v>0</v>
      </c>
      <c r="I153" s="42"/>
      <c r="J153" s="43"/>
      <c r="K153" s="2">
        <f t="shared" si="43"/>
        <v>0</v>
      </c>
      <c r="L153" s="42"/>
      <c r="M153" s="43"/>
      <c r="N153" s="2">
        <f t="shared" si="44"/>
        <v>0</v>
      </c>
      <c r="O153" s="42"/>
      <c r="P153" s="43"/>
      <c r="Q153" s="2">
        <f t="shared" si="45"/>
        <v>0</v>
      </c>
      <c r="R153" s="42"/>
      <c r="S153" s="43"/>
      <c r="T153" s="2">
        <f t="shared" si="46"/>
        <v>0</v>
      </c>
      <c r="U153" s="42"/>
      <c r="V153" s="43"/>
      <c r="W153" s="2">
        <f t="shared" si="47"/>
        <v>0</v>
      </c>
      <c r="X153" s="42"/>
      <c r="Y153" s="43"/>
      <c r="Z153" s="2">
        <f t="shared" si="48"/>
        <v>0</v>
      </c>
      <c r="AA153" s="42"/>
      <c r="AB153" s="43"/>
      <c r="AC153" s="2">
        <f t="shared" si="49"/>
        <v>0</v>
      </c>
      <c r="AD153" s="42"/>
      <c r="AE153" s="43"/>
      <c r="AF153" s="2">
        <f t="shared" si="50"/>
        <v>0</v>
      </c>
      <c r="AG153" s="42"/>
      <c r="AH153" s="43"/>
      <c r="AI153" s="2">
        <f t="shared" si="51"/>
        <v>0</v>
      </c>
      <c r="AJ153" s="97" t="str" cm="1">
        <f t="array" ref="AJ153">GETMENORVALOR(H153,K153,N153,Q153,T153,W153,Z153,AC153,AF153,AI153)</f>
        <v/>
      </c>
      <c r="AK153" s="98"/>
    </row>
    <row r="154" spans="1:37" hidden="1" x14ac:dyDescent="0.25">
      <c r="A154" s="10" t="str">
        <f t="shared" si="52"/>
        <v/>
      </c>
      <c r="B154" s="50"/>
      <c r="C154" s="39"/>
      <c r="D154" s="40"/>
      <c r="E154" s="41"/>
      <c r="F154" s="42"/>
      <c r="G154" s="43"/>
      <c r="H154" s="2">
        <f t="shared" si="42"/>
        <v>0</v>
      </c>
      <c r="I154" s="42"/>
      <c r="J154" s="43"/>
      <c r="K154" s="2">
        <f t="shared" si="43"/>
        <v>0</v>
      </c>
      <c r="L154" s="42"/>
      <c r="M154" s="43"/>
      <c r="N154" s="2">
        <f t="shared" si="44"/>
        <v>0</v>
      </c>
      <c r="O154" s="42"/>
      <c r="P154" s="43"/>
      <c r="Q154" s="2">
        <f t="shared" si="45"/>
        <v>0</v>
      </c>
      <c r="R154" s="42"/>
      <c r="S154" s="43"/>
      <c r="T154" s="2">
        <f t="shared" si="46"/>
        <v>0</v>
      </c>
      <c r="U154" s="42"/>
      <c r="V154" s="43"/>
      <c r="W154" s="2">
        <f t="shared" si="47"/>
        <v>0</v>
      </c>
      <c r="X154" s="42"/>
      <c r="Y154" s="43"/>
      <c r="Z154" s="2">
        <f t="shared" si="48"/>
        <v>0</v>
      </c>
      <c r="AA154" s="42"/>
      <c r="AB154" s="43"/>
      <c r="AC154" s="2">
        <f t="shared" si="49"/>
        <v>0</v>
      </c>
      <c r="AD154" s="42"/>
      <c r="AE154" s="43"/>
      <c r="AF154" s="2">
        <f t="shared" si="50"/>
        <v>0</v>
      </c>
      <c r="AG154" s="42"/>
      <c r="AH154" s="43"/>
      <c r="AI154" s="2">
        <f t="shared" si="51"/>
        <v>0</v>
      </c>
      <c r="AJ154" s="97" t="str" cm="1">
        <f t="array" ref="AJ154">GETMENORVALOR(H154,K154,N154,Q154,T154,W154,Z154,AC154,AF154,AI154)</f>
        <v/>
      </c>
      <c r="AK154" s="98"/>
    </row>
    <row r="155" spans="1:37" hidden="1" x14ac:dyDescent="0.25">
      <c r="A155" s="10" t="str">
        <f t="shared" si="52"/>
        <v/>
      </c>
      <c r="B155" s="50"/>
      <c r="C155" s="39"/>
      <c r="D155" s="40"/>
      <c r="E155" s="41"/>
      <c r="F155" s="42"/>
      <c r="G155" s="43"/>
      <c r="H155" s="2">
        <f t="shared" si="42"/>
        <v>0</v>
      </c>
      <c r="I155" s="42"/>
      <c r="J155" s="43"/>
      <c r="K155" s="2">
        <f t="shared" si="43"/>
        <v>0</v>
      </c>
      <c r="L155" s="42"/>
      <c r="M155" s="43"/>
      <c r="N155" s="2">
        <f t="shared" si="44"/>
        <v>0</v>
      </c>
      <c r="O155" s="42"/>
      <c r="P155" s="43"/>
      <c r="Q155" s="2">
        <f t="shared" si="45"/>
        <v>0</v>
      </c>
      <c r="R155" s="42"/>
      <c r="S155" s="43"/>
      <c r="T155" s="2">
        <f t="shared" si="46"/>
        <v>0</v>
      </c>
      <c r="U155" s="42"/>
      <c r="V155" s="43"/>
      <c r="W155" s="2">
        <f t="shared" si="47"/>
        <v>0</v>
      </c>
      <c r="X155" s="42"/>
      <c r="Y155" s="43"/>
      <c r="Z155" s="2">
        <f t="shared" si="48"/>
        <v>0</v>
      </c>
      <c r="AA155" s="42"/>
      <c r="AB155" s="43"/>
      <c r="AC155" s="2">
        <f t="shared" si="49"/>
        <v>0</v>
      </c>
      <c r="AD155" s="42"/>
      <c r="AE155" s="43"/>
      <c r="AF155" s="2">
        <f t="shared" si="50"/>
        <v>0</v>
      </c>
      <c r="AG155" s="42"/>
      <c r="AH155" s="43"/>
      <c r="AI155" s="2">
        <f t="shared" si="51"/>
        <v>0</v>
      </c>
      <c r="AJ155" s="97" t="str" cm="1">
        <f t="array" ref="AJ155">GETMENORVALOR(H155,K155,N155,Q155,T155,W155,Z155,AC155,AF155,AI155)</f>
        <v/>
      </c>
      <c r="AK155" s="98"/>
    </row>
    <row r="156" spans="1:37" hidden="1" x14ac:dyDescent="0.25">
      <c r="A156" s="10" t="str">
        <f t="shared" si="52"/>
        <v/>
      </c>
      <c r="B156" s="50"/>
      <c r="C156" s="39"/>
      <c r="D156" s="40"/>
      <c r="E156" s="41"/>
      <c r="F156" s="42"/>
      <c r="G156" s="43"/>
      <c r="H156" s="2">
        <f t="shared" si="42"/>
        <v>0</v>
      </c>
      <c r="I156" s="42"/>
      <c r="J156" s="43"/>
      <c r="K156" s="2">
        <f t="shared" si="43"/>
        <v>0</v>
      </c>
      <c r="L156" s="42"/>
      <c r="M156" s="43"/>
      <c r="N156" s="2">
        <f t="shared" si="44"/>
        <v>0</v>
      </c>
      <c r="O156" s="42"/>
      <c r="P156" s="43"/>
      <c r="Q156" s="2">
        <f t="shared" si="45"/>
        <v>0</v>
      </c>
      <c r="R156" s="42"/>
      <c r="S156" s="43"/>
      <c r="T156" s="2">
        <f t="shared" si="46"/>
        <v>0</v>
      </c>
      <c r="U156" s="42"/>
      <c r="V156" s="43"/>
      <c r="W156" s="2">
        <f t="shared" si="47"/>
        <v>0</v>
      </c>
      <c r="X156" s="42"/>
      <c r="Y156" s="43"/>
      <c r="Z156" s="2">
        <f t="shared" si="48"/>
        <v>0</v>
      </c>
      <c r="AA156" s="42"/>
      <c r="AB156" s="43"/>
      <c r="AC156" s="2">
        <f t="shared" si="49"/>
        <v>0</v>
      </c>
      <c r="AD156" s="42"/>
      <c r="AE156" s="43"/>
      <c r="AF156" s="2">
        <f t="shared" si="50"/>
        <v>0</v>
      </c>
      <c r="AG156" s="42"/>
      <c r="AH156" s="43"/>
      <c r="AI156" s="2">
        <f t="shared" si="51"/>
        <v>0</v>
      </c>
      <c r="AJ156" s="97" t="str" cm="1">
        <f t="array" ref="AJ156">GETMENORVALOR(H156,K156,N156,Q156,T156,W156,Z156,AC156,AF156,AI156)</f>
        <v/>
      </c>
      <c r="AK156" s="98"/>
    </row>
    <row r="157" spans="1:37" hidden="1" x14ac:dyDescent="0.25">
      <c r="A157" s="10" t="str">
        <f t="shared" si="52"/>
        <v/>
      </c>
      <c r="B157" s="50"/>
      <c r="C157" s="39"/>
      <c r="D157" s="40"/>
      <c r="E157" s="41"/>
      <c r="F157" s="42"/>
      <c r="G157" s="43"/>
      <c r="H157" s="2">
        <f t="shared" si="42"/>
        <v>0</v>
      </c>
      <c r="I157" s="42"/>
      <c r="J157" s="43"/>
      <c r="K157" s="2">
        <f t="shared" si="43"/>
        <v>0</v>
      </c>
      <c r="L157" s="42"/>
      <c r="M157" s="43"/>
      <c r="N157" s="2">
        <f t="shared" si="44"/>
        <v>0</v>
      </c>
      <c r="O157" s="42"/>
      <c r="P157" s="43"/>
      <c r="Q157" s="2">
        <f t="shared" si="45"/>
        <v>0</v>
      </c>
      <c r="R157" s="42"/>
      <c r="S157" s="43"/>
      <c r="T157" s="2">
        <f t="shared" si="46"/>
        <v>0</v>
      </c>
      <c r="U157" s="42"/>
      <c r="V157" s="43"/>
      <c r="W157" s="2">
        <f t="shared" si="47"/>
        <v>0</v>
      </c>
      <c r="X157" s="42"/>
      <c r="Y157" s="43"/>
      <c r="Z157" s="2">
        <f t="shared" si="48"/>
        <v>0</v>
      </c>
      <c r="AA157" s="42"/>
      <c r="AB157" s="43"/>
      <c r="AC157" s="2">
        <f t="shared" si="49"/>
        <v>0</v>
      </c>
      <c r="AD157" s="42"/>
      <c r="AE157" s="43"/>
      <c r="AF157" s="2">
        <f t="shared" si="50"/>
        <v>0</v>
      </c>
      <c r="AG157" s="42"/>
      <c r="AH157" s="43"/>
      <c r="AI157" s="2">
        <f t="shared" si="51"/>
        <v>0</v>
      </c>
      <c r="AJ157" s="97" t="str" cm="1">
        <f t="array" ref="AJ157">GETMENORVALOR(H157,K157,N157,Q157,T157,W157,Z157,AC157,AF157,AI157)</f>
        <v/>
      </c>
      <c r="AK157" s="98"/>
    </row>
    <row r="158" spans="1:37" hidden="1" x14ac:dyDescent="0.25">
      <c r="A158" s="10" t="str">
        <f t="shared" si="52"/>
        <v/>
      </c>
      <c r="B158" s="50"/>
      <c r="C158" s="39"/>
      <c r="D158" s="40"/>
      <c r="E158" s="41"/>
      <c r="F158" s="42"/>
      <c r="G158" s="43"/>
      <c r="H158" s="2">
        <f t="shared" si="42"/>
        <v>0</v>
      </c>
      <c r="I158" s="42"/>
      <c r="J158" s="43"/>
      <c r="K158" s="2">
        <f t="shared" si="43"/>
        <v>0</v>
      </c>
      <c r="L158" s="42"/>
      <c r="M158" s="43"/>
      <c r="N158" s="2">
        <f t="shared" si="44"/>
        <v>0</v>
      </c>
      <c r="O158" s="42"/>
      <c r="P158" s="43"/>
      <c r="Q158" s="2">
        <f t="shared" si="45"/>
        <v>0</v>
      </c>
      <c r="R158" s="42"/>
      <c r="S158" s="43"/>
      <c r="T158" s="2">
        <f t="shared" si="46"/>
        <v>0</v>
      </c>
      <c r="U158" s="42"/>
      <c r="V158" s="43"/>
      <c r="W158" s="2">
        <f t="shared" si="47"/>
        <v>0</v>
      </c>
      <c r="X158" s="42"/>
      <c r="Y158" s="43"/>
      <c r="Z158" s="2">
        <f t="shared" si="48"/>
        <v>0</v>
      </c>
      <c r="AA158" s="42"/>
      <c r="AB158" s="43"/>
      <c r="AC158" s="2">
        <f t="shared" si="49"/>
        <v>0</v>
      </c>
      <c r="AD158" s="42"/>
      <c r="AE158" s="43"/>
      <c r="AF158" s="2">
        <f t="shared" si="50"/>
        <v>0</v>
      </c>
      <c r="AG158" s="42"/>
      <c r="AH158" s="43"/>
      <c r="AI158" s="2">
        <f t="shared" si="51"/>
        <v>0</v>
      </c>
      <c r="AJ158" s="97" t="str" cm="1">
        <f t="array" ref="AJ158">GETMENORVALOR(H158,K158,N158,Q158,T158,W158,Z158,AC158,AF158,AI158)</f>
        <v/>
      </c>
      <c r="AK158" s="98"/>
    </row>
    <row r="159" spans="1:37" hidden="1" x14ac:dyDescent="0.25">
      <c r="A159" s="10" t="str">
        <f t="shared" si="52"/>
        <v/>
      </c>
      <c r="B159" s="50"/>
      <c r="C159" s="39"/>
      <c r="D159" s="40"/>
      <c r="E159" s="41"/>
      <c r="F159" s="42"/>
      <c r="G159" s="43"/>
      <c r="H159" s="2">
        <f t="shared" si="42"/>
        <v>0</v>
      </c>
      <c r="I159" s="42"/>
      <c r="J159" s="43"/>
      <c r="K159" s="2">
        <f t="shared" si="43"/>
        <v>0</v>
      </c>
      <c r="L159" s="42"/>
      <c r="M159" s="43"/>
      <c r="N159" s="2">
        <f t="shared" si="44"/>
        <v>0</v>
      </c>
      <c r="O159" s="42"/>
      <c r="P159" s="43"/>
      <c r="Q159" s="2">
        <f t="shared" si="45"/>
        <v>0</v>
      </c>
      <c r="R159" s="42"/>
      <c r="S159" s="43"/>
      <c r="T159" s="2">
        <f t="shared" si="46"/>
        <v>0</v>
      </c>
      <c r="U159" s="42"/>
      <c r="V159" s="43"/>
      <c r="W159" s="2">
        <f t="shared" si="47"/>
        <v>0</v>
      </c>
      <c r="X159" s="42"/>
      <c r="Y159" s="43"/>
      <c r="Z159" s="2">
        <f t="shared" si="48"/>
        <v>0</v>
      </c>
      <c r="AA159" s="42"/>
      <c r="AB159" s="43"/>
      <c r="AC159" s="2">
        <f t="shared" si="49"/>
        <v>0</v>
      </c>
      <c r="AD159" s="42"/>
      <c r="AE159" s="43"/>
      <c r="AF159" s="2">
        <f t="shared" si="50"/>
        <v>0</v>
      </c>
      <c r="AG159" s="42"/>
      <c r="AH159" s="43"/>
      <c r="AI159" s="2">
        <f t="shared" si="51"/>
        <v>0</v>
      </c>
      <c r="AJ159" s="97" t="str" cm="1">
        <f t="array" ref="AJ159">GETMENORVALOR(H159,K159,N159,Q159,T159,W159,Z159,AC159,AF159,AI159)</f>
        <v/>
      </c>
      <c r="AK159" s="98"/>
    </row>
    <row r="160" spans="1:37" hidden="1" x14ac:dyDescent="0.25">
      <c r="A160" s="10" t="str">
        <f t="shared" si="52"/>
        <v/>
      </c>
      <c r="B160" s="50"/>
      <c r="C160" s="39"/>
      <c r="D160" s="40"/>
      <c r="E160" s="41"/>
      <c r="F160" s="42"/>
      <c r="G160" s="43"/>
      <c r="H160" s="2">
        <f t="shared" si="42"/>
        <v>0</v>
      </c>
      <c r="I160" s="42"/>
      <c r="J160" s="43"/>
      <c r="K160" s="2">
        <f t="shared" si="43"/>
        <v>0</v>
      </c>
      <c r="L160" s="42"/>
      <c r="M160" s="43"/>
      <c r="N160" s="2">
        <f t="shared" si="44"/>
        <v>0</v>
      </c>
      <c r="O160" s="42"/>
      <c r="P160" s="43"/>
      <c r="Q160" s="2">
        <f t="shared" si="45"/>
        <v>0</v>
      </c>
      <c r="R160" s="42"/>
      <c r="S160" s="43"/>
      <c r="T160" s="2">
        <f t="shared" si="46"/>
        <v>0</v>
      </c>
      <c r="U160" s="42"/>
      <c r="V160" s="43"/>
      <c r="W160" s="2">
        <f t="shared" si="47"/>
        <v>0</v>
      </c>
      <c r="X160" s="42"/>
      <c r="Y160" s="43"/>
      <c r="Z160" s="2">
        <f t="shared" si="48"/>
        <v>0</v>
      </c>
      <c r="AA160" s="42"/>
      <c r="AB160" s="43"/>
      <c r="AC160" s="2">
        <f t="shared" si="49"/>
        <v>0</v>
      </c>
      <c r="AD160" s="42"/>
      <c r="AE160" s="43"/>
      <c r="AF160" s="2">
        <f t="shared" si="50"/>
        <v>0</v>
      </c>
      <c r="AG160" s="42"/>
      <c r="AH160" s="43"/>
      <c r="AI160" s="2">
        <f t="shared" si="51"/>
        <v>0</v>
      </c>
      <c r="AJ160" s="97" t="str" cm="1">
        <f t="array" ref="AJ160">GETMENORVALOR(H160,K160,N160,Q160,T160,W160,Z160,AC160,AF160,AI160)</f>
        <v/>
      </c>
      <c r="AK160" s="98"/>
    </row>
    <row r="161" spans="1:37" hidden="1" x14ac:dyDescent="0.25">
      <c r="A161" s="10" t="str">
        <f t="shared" si="52"/>
        <v/>
      </c>
      <c r="B161" s="50"/>
      <c r="C161" s="39"/>
      <c r="D161" s="40"/>
      <c r="E161" s="41"/>
      <c r="F161" s="42"/>
      <c r="G161" s="43"/>
      <c r="H161" s="2">
        <f t="shared" si="42"/>
        <v>0</v>
      </c>
      <c r="I161" s="42"/>
      <c r="J161" s="43"/>
      <c r="K161" s="2">
        <f t="shared" si="43"/>
        <v>0</v>
      </c>
      <c r="L161" s="42"/>
      <c r="M161" s="43"/>
      <c r="N161" s="2">
        <f t="shared" si="44"/>
        <v>0</v>
      </c>
      <c r="O161" s="42"/>
      <c r="P161" s="43"/>
      <c r="Q161" s="2">
        <f t="shared" si="45"/>
        <v>0</v>
      </c>
      <c r="R161" s="42"/>
      <c r="S161" s="43"/>
      <c r="T161" s="2">
        <f t="shared" si="46"/>
        <v>0</v>
      </c>
      <c r="U161" s="42"/>
      <c r="V161" s="43"/>
      <c r="W161" s="2">
        <f t="shared" si="47"/>
        <v>0</v>
      </c>
      <c r="X161" s="42"/>
      <c r="Y161" s="43"/>
      <c r="Z161" s="2">
        <f t="shared" si="48"/>
        <v>0</v>
      </c>
      <c r="AA161" s="42"/>
      <c r="AB161" s="43"/>
      <c r="AC161" s="2">
        <f t="shared" si="49"/>
        <v>0</v>
      </c>
      <c r="AD161" s="42"/>
      <c r="AE161" s="43"/>
      <c r="AF161" s="2">
        <f t="shared" si="50"/>
        <v>0</v>
      </c>
      <c r="AG161" s="42"/>
      <c r="AH161" s="43"/>
      <c r="AI161" s="2">
        <f t="shared" si="51"/>
        <v>0</v>
      </c>
      <c r="AJ161" s="97" t="str" cm="1">
        <f t="array" ref="AJ161">GETMENORVALOR(H161,K161,N161,Q161,T161,W161,Z161,AC161,AF161,AI161)</f>
        <v/>
      </c>
      <c r="AK161" s="98"/>
    </row>
    <row r="162" spans="1:37" hidden="1" x14ac:dyDescent="0.25">
      <c r="A162" s="10" t="str">
        <f t="shared" si="52"/>
        <v/>
      </c>
      <c r="B162" s="50"/>
      <c r="C162" s="39"/>
      <c r="D162" s="40"/>
      <c r="E162" s="41"/>
      <c r="F162" s="42"/>
      <c r="G162" s="43"/>
      <c r="H162" s="2">
        <f t="shared" si="42"/>
        <v>0</v>
      </c>
      <c r="I162" s="42"/>
      <c r="J162" s="43"/>
      <c r="K162" s="2">
        <f t="shared" si="43"/>
        <v>0</v>
      </c>
      <c r="L162" s="42"/>
      <c r="M162" s="43"/>
      <c r="N162" s="2">
        <f t="shared" si="44"/>
        <v>0</v>
      </c>
      <c r="O162" s="42"/>
      <c r="P162" s="43"/>
      <c r="Q162" s="2">
        <f t="shared" si="45"/>
        <v>0</v>
      </c>
      <c r="R162" s="42"/>
      <c r="S162" s="43"/>
      <c r="T162" s="2">
        <f t="shared" si="46"/>
        <v>0</v>
      </c>
      <c r="U162" s="42"/>
      <c r="V162" s="43"/>
      <c r="W162" s="2">
        <f t="shared" si="47"/>
        <v>0</v>
      </c>
      <c r="X162" s="42"/>
      <c r="Y162" s="43"/>
      <c r="Z162" s="2">
        <f t="shared" si="48"/>
        <v>0</v>
      </c>
      <c r="AA162" s="42"/>
      <c r="AB162" s="43"/>
      <c r="AC162" s="2">
        <f t="shared" si="49"/>
        <v>0</v>
      </c>
      <c r="AD162" s="42"/>
      <c r="AE162" s="43"/>
      <c r="AF162" s="2">
        <f t="shared" si="50"/>
        <v>0</v>
      </c>
      <c r="AG162" s="42"/>
      <c r="AH162" s="43"/>
      <c r="AI162" s="2">
        <f t="shared" si="51"/>
        <v>0</v>
      </c>
      <c r="AJ162" s="97" t="str" cm="1">
        <f t="array" ref="AJ162">GETMENORVALOR(H162,K162,N162,Q162,T162,W162,Z162,AC162,AF162,AI162)</f>
        <v/>
      </c>
      <c r="AK162" s="98"/>
    </row>
    <row r="163" spans="1:37" hidden="1" x14ac:dyDescent="0.25">
      <c r="A163" s="10" t="str">
        <f t="shared" si="52"/>
        <v/>
      </c>
      <c r="B163" s="50"/>
      <c r="C163" s="39"/>
      <c r="D163" s="40"/>
      <c r="E163" s="41"/>
      <c r="F163" s="42"/>
      <c r="G163" s="43"/>
      <c r="H163" s="2">
        <f t="shared" si="42"/>
        <v>0</v>
      </c>
      <c r="I163" s="42"/>
      <c r="J163" s="43"/>
      <c r="K163" s="2">
        <f t="shared" si="43"/>
        <v>0</v>
      </c>
      <c r="L163" s="42"/>
      <c r="M163" s="43"/>
      <c r="N163" s="2">
        <f t="shared" si="44"/>
        <v>0</v>
      </c>
      <c r="O163" s="42"/>
      <c r="P163" s="43"/>
      <c r="Q163" s="2">
        <f t="shared" si="45"/>
        <v>0</v>
      </c>
      <c r="R163" s="42"/>
      <c r="S163" s="43"/>
      <c r="T163" s="2">
        <f t="shared" si="46"/>
        <v>0</v>
      </c>
      <c r="U163" s="42"/>
      <c r="V163" s="43"/>
      <c r="W163" s="2">
        <f t="shared" si="47"/>
        <v>0</v>
      </c>
      <c r="X163" s="42"/>
      <c r="Y163" s="43"/>
      <c r="Z163" s="2">
        <f t="shared" si="48"/>
        <v>0</v>
      </c>
      <c r="AA163" s="42"/>
      <c r="AB163" s="43"/>
      <c r="AC163" s="2">
        <f t="shared" si="49"/>
        <v>0</v>
      </c>
      <c r="AD163" s="42"/>
      <c r="AE163" s="43"/>
      <c r="AF163" s="2">
        <f t="shared" si="50"/>
        <v>0</v>
      </c>
      <c r="AG163" s="42"/>
      <c r="AH163" s="43"/>
      <c r="AI163" s="2">
        <f t="shared" si="51"/>
        <v>0</v>
      </c>
      <c r="AJ163" s="97" t="str" cm="1">
        <f t="array" ref="AJ163">GETMENORVALOR(H163,K163,N163,Q163,T163,W163,Z163,AC163,AF163,AI163)</f>
        <v/>
      </c>
      <c r="AK163" s="98"/>
    </row>
    <row r="164" spans="1:37" hidden="1" x14ac:dyDescent="0.25">
      <c r="A164" s="10" t="str">
        <f t="shared" si="52"/>
        <v/>
      </c>
      <c r="B164" s="50"/>
      <c r="C164" s="39"/>
      <c r="D164" s="40"/>
      <c r="E164" s="41"/>
      <c r="F164" s="42"/>
      <c r="G164" s="43"/>
      <c r="H164" s="2">
        <f t="shared" si="42"/>
        <v>0</v>
      </c>
      <c r="I164" s="42"/>
      <c r="J164" s="43"/>
      <c r="K164" s="2">
        <f t="shared" si="43"/>
        <v>0</v>
      </c>
      <c r="L164" s="42"/>
      <c r="M164" s="43"/>
      <c r="N164" s="2">
        <f t="shared" si="44"/>
        <v>0</v>
      </c>
      <c r="O164" s="42"/>
      <c r="P164" s="43"/>
      <c r="Q164" s="2">
        <f t="shared" si="45"/>
        <v>0</v>
      </c>
      <c r="R164" s="42"/>
      <c r="S164" s="43"/>
      <c r="T164" s="2">
        <f t="shared" si="46"/>
        <v>0</v>
      </c>
      <c r="U164" s="42"/>
      <c r="V164" s="43"/>
      <c r="W164" s="2">
        <f t="shared" si="47"/>
        <v>0</v>
      </c>
      <c r="X164" s="42"/>
      <c r="Y164" s="43"/>
      <c r="Z164" s="2">
        <f t="shared" si="48"/>
        <v>0</v>
      </c>
      <c r="AA164" s="42"/>
      <c r="AB164" s="43"/>
      <c r="AC164" s="2">
        <f t="shared" si="49"/>
        <v>0</v>
      </c>
      <c r="AD164" s="42"/>
      <c r="AE164" s="43"/>
      <c r="AF164" s="2">
        <f t="shared" si="50"/>
        <v>0</v>
      </c>
      <c r="AG164" s="42"/>
      <c r="AH164" s="43"/>
      <c r="AI164" s="2">
        <f t="shared" si="51"/>
        <v>0</v>
      </c>
      <c r="AJ164" s="97" t="str" cm="1">
        <f t="array" ref="AJ164">GETMENORVALOR(H164,K164,N164,Q164,T164,W164,Z164,AC164,AF164,AI164)</f>
        <v/>
      </c>
      <c r="AK164" s="98"/>
    </row>
    <row r="165" spans="1:37" hidden="1" x14ac:dyDescent="0.25">
      <c r="A165" s="10" t="str">
        <f t="shared" si="52"/>
        <v/>
      </c>
      <c r="B165" s="50"/>
      <c r="C165" s="39"/>
      <c r="D165" s="40"/>
      <c r="E165" s="41"/>
      <c r="F165" s="42"/>
      <c r="G165" s="43"/>
      <c r="H165" s="2">
        <f t="shared" si="42"/>
        <v>0</v>
      </c>
      <c r="I165" s="42"/>
      <c r="J165" s="43"/>
      <c r="K165" s="2">
        <f t="shared" si="43"/>
        <v>0</v>
      </c>
      <c r="L165" s="42"/>
      <c r="M165" s="43"/>
      <c r="N165" s="2">
        <f t="shared" si="44"/>
        <v>0</v>
      </c>
      <c r="O165" s="42"/>
      <c r="P165" s="43"/>
      <c r="Q165" s="2">
        <f t="shared" si="45"/>
        <v>0</v>
      </c>
      <c r="R165" s="42"/>
      <c r="S165" s="43"/>
      <c r="T165" s="2">
        <f t="shared" si="46"/>
        <v>0</v>
      </c>
      <c r="U165" s="42"/>
      <c r="V165" s="43"/>
      <c r="W165" s="2">
        <f t="shared" si="47"/>
        <v>0</v>
      </c>
      <c r="X165" s="42"/>
      <c r="Y165" s="43"/>
      <c r="Z165" s="2">
        <f t="shared" si="48"/>
        <v>0</v>
      </c>
      <c r="AA165" s="42"/>
      <c r="AB165" s="43"/>
      <c r="AC165" s="2">
        <f t="shared" si="49"/>
        <v>0</v>
      </c>
      <c r="AD165" s="42"/>
      <c r="AE165" s="43"/>
      <c r="AF165" s="2">
        <f t="shared" si="50"/>
        <v>0</v>
      </c>
      <c r="AG165" s="42"/>
      <c r="AH165" s="43"/>
      <c r="AI165" s="2">
        <f t="shared" si="51"/>
        <v>0</v>
      </c>
      <c r="AJ165" s="97" t="str" cm="1">
        <f t="array" ref="AJ165">GETMENORVALOR(H165,K165,N165,Q165,T165,W165,Z165,AC165,AF165,AI165)</f>
        <v/>
      </c>
      <c r="AK165" s="98"/>
    </row>
    <row r="166" spans="1:37" hidden="1" x14ac:dyDescent="0.25">
      <c r="A166" s="10" t="str">
        <f t="shared" si="52"/>
        <v/>
      </c>
      <c r="B166" s="50"/>
      <c r="C166" s="39"/>
      <c r="D166" s="40"/>
      <c r="E166" s="41"/>
      <c r="F166" s="42"/>
      <c r="G166" s="43"/>
      <c r="H166" s="2">
        <f t="shared" si="42"/>
        <v>0</v>
      </c>
      <c r="I166" s="42"/>
      <c r="J166" s="43"/>
      <c r="K166" s="2">
        <f t="shared" si="43"/>
        <v>0</v>
      </c>
      <c r="L166" s="42"/>
      <c r="M166" s="43"/>
      <c r="N166" s="2">
        <f t="shared" si="44"/>
        <v>0</v>
      </c>
      <c r="O166" s="42"/>
      <c r="P166" s="43"/>
      <c r="Q166" s="2">
        <f t="shared" si="45"/>
        <v>0</v>
      </c>
      <c r="R166" s="42"/>
      <c r="S166" s="43"/>
      <c r="T166" s="2">
        <f t="shared" si="46"/>
        <v>0</v>
      </c>
      <c r="U166" s="42"/>
      <c r="V166" s="43"/>
      <c r="W166" s="2">
        <f t="shared" si="47"/>
        <v>0</v>
      </c>
      <c r="X166" s="42"/>
      <c r="Y166" s="43"/>
      <c r="Z166" s="2">
        <f t="shared" si="48"/>
        <v>0</v>
      </c>
      <c r="AA166" s="42"/>
      <c r="AB166" s="43"/>
      <c r="AC166" s="2">
        <f t="shared" si="49"/>
        <v>0</v>
      </c>
      <c r="AD166" s="42"/>
      <c r="AE166" s="43"/>
      <c r="AF166" s="2">
        <f t="shared" si="50"/>
        <v>0</v>
      </c>
      <c r="AG166" s="42"/>
      <c r="AH166" s="43"/>
      <c r="AI166" s="2">
        <f t="shared" si="51"/>
        <v>0</v>
      </c>
      <c r="AJ166" s="97" t="str" cm="1">
        <f t="array" ref="AJ166">GETMENORVALOR(H166,K166,N166,Q166,T166,W166,Z166,AC166,AF166,AI166)</f>
        <v/>
      </c>
      <c r="AK166" s="98"/>
    </row>
    <row r="167" spans="1:37" hidden="1" x14ac:dyDescent="0.25">
      <c r="A167" s="10" t="str">
        <f t="shared" si="52"/>
        <v/>
      </c>
      <c r="B167" s="50"/>
      <c r="C167" s="39"/>
      <c r="D167" s="40"/>
      <c r="E167" s="41"/>
      <c r="F167" s="42"/>
      <c r="G167" s="43"/>
      <c r="H167" s="2">
        <f t="shared" si="42"/>
        <v>0</v>
      </c>
      <c r="I167" s="42"/>
      <c r="J167" s="43"/>
      <c r="K167" s="2">
        <f t="shared" si="43"/>
        <v>0</v>
      </c>
      <c r="L167" s="42"/>
      <c r="M167" s="43"/>
      <c r="N167" s="2">
        <f t="shared" si="44"/>
        <v>0</v>
      </c>
      <c r="O167" s="42"/>
      <c r="P167" s="43"/>
      <c r="Q167" s="2">
        <f t="shared" si="45"/>
        <v>0</v>
      </c>
      <c r="R167" s="42"/>
      <c r="S167" s="43"/>
      <c r="T167" s="2">
        <f t="shared" si="46"/>
        <v>0</v>
      </c>
      <c r="U167" s="42"/>
      <c r="V167" s="43"/>
      <c r="W167" s="2">
        <f t="shared" si="47"/>
        <v>0</v>
      </c>
      <c r="X167" s="42"/>
      <c r="Y167" s="43"/>
      <c r="Z167" s="2">
        <f t="shared" si="48"/>
        <v>0</v>
      </c>
      <c r="AA167" s="42"/>
      <c r="AB167" s="43"/>
      <c r="AC167" s="2">
        <f t="shared" si="49"/>
        <v>0</v>
      </c>
      <c r="AD167" s="42"/>
      <c r="AE167" s="43"/>
      <c r="AF167" s="2">
        <f t="shared" si="50"/>
        <v>0</v>
      </c>
      <c r="AG167" s="42"/>
      <c r="AH167" s="43"/>
      <c r="AI167" s="2">
        <f t="shared" si="51"/>
        <v>0</v>
      </c>
      <c r="AJ167" s="97" t="str" cm="1">
        <f t="array" ref="AJ167">GETMENORVALOR(H167,K167,N167,Q167,T167,W167,Z167,AC167,AF167,AI167)</f>
        <v/>
      </c>
      <c r="AK167" s="98"/>
    </row>
    <row r="168" spans="1:37" hidden="1" x14ac:dyDescent="0.25">
      <c r="A168" s="10" t="str">
        <f t="shared" si="52"/>
        <v/>
      </c>
      <c r="B168" s="50"/>
      <c r="C168" s="39"/>
      <c r="D168" s="40"/>
      <c r="E168" s="41"/>
      <c r="F168" s="42"/>
      <c r="G168" s="43"/>
      <c r="H168" s="2">
        <f t="shared" si="42"/>
        <v>0</v>
      </c>
      <c r="I168" s="42"/>
      <c r="J168" s="43"/>
      <c r="K168" s="2">
        <f t="shared" si="43"/>
        <v>0</v>
      </c>
      <c r="L168" s="42"/>
      <c r="M168" s="43"/>
      <c r="N168" s="2">
        <f t="shared" si="44"/>
        <v>0</v>
      </c>
      <c r="O168" s="42"/>
      <c r="P168" s="43"/>
      <c r="Q168" s="2">
        <f t="shared" si="45"/>
        <v>0</v>
      </c>
      <c r="R168" s="42"/>
      <c r="S168" s="43"/>
      <c r="T168" s="2">
        <f t="shared" si="46"/>
        <v>0</v>
      </c>
      <c r="U168" s="42"/>
      <c r="V168" s="43"/>
      <c r="W168" s="2">
        <f t="shared" si="47"/>
        <v>0</v>
      </c>
      <c r="X168" s="42"/>
      <c r="Y168" s="43"/>
      <c r="Z168" s="2">
        <f t="shared" si="48"/>
        <v>0</v>
      </c>
      <c r="AA168" s="42"/>
      <c r="AB168" s="43"/>
      <c r="AC168" s="2">
        <f t="shared" si="49"/>
        <v>0</v>
      </c>
      <c r="AD168" s="42"/>
      <c r="AE168" s="43"/>
      <c r="AF168" s="2">
        <f t="shared" si="50"/>
        <v>0</v>
      </c>
      <c r="AG168" s="42"/>
      <c r="AH168" s="43"/>
      <c r="AI168" s="2">
        <f t="shared" si="51"/>
        <v>0</v>
      </c>
      <c r="AJ168" s="97" t="str" cm="1">
        <f t="array" ref="AJ168">GETMENORVALOR(H168,K168,N168,Q168,T168,W168,Z168,AC168,AF168,AI168)</f>
        <v/>
      </c>
      <c r="AK168" s="98"/>
    </row>
    <row r="169" spans="1:37" hidden="1" x14ac:dyDescent="0.25">
      <c r="A169" s="10" t="str">
        <f t="shared" si="52"/>
        <v/>
      </c>
      <c r="B169" s="50"/>
      <c r="C169" s="39"/>
      <c r="D169" s="40"/>
      <c r="E169" s="41"/>
      <c r="F169" s="42"/>
      <c r="G169" s="43"/>
      <c r="H169" s="2">
        <f t="shared" si="42"/>
        <v>0</v>
      </c>
      <c r="I169" s="42"/>
      <c r="J169" s="43"/>
      <c r="K169" s="2">
        <f t="shared" si="43"/>
        <v>0</v>
      </c>
      <c r="L169" s="42"/>
      <c r="M169" s="43"/>
      <c r="N169" s="2">
        <f t="shared" si="44"/>
        <v>0</v>
      </c>
      <c r="O169" s="42"/>
      <c r="P169" s="43"/>
      <c r="Q169" s="2">
        <f t="shared" si="45"/>
        <v>0</v>
      </c>
      <c r="R169" s="42"/>
      <c r="S169" s="43"/>
      <c r="T169" s="2">
        <f t="shared" si="46"/>
        <v>0</v>
      </c>
      <c r="U169" s="42"/>
      <c r="V169" s="43"/>
      <c r="W169" s="2">
        <f t="shared" si="47"/>
        <v>0</v>
      </c>
      <c r="X169" s="42"/>
      <c r="Y169" s="43"/>
      <c r="Z169" s="2">
        <f t="shared" si="48"/>
        <v>0</v>
      </c>
      <c r="AA169" s="42"/>
      <c r="AB169" s="43"/>
      <c r="AC169" s="2">
        <f t="shared" si="49"/>
        <v>0</v>
      </c>
      <c r="AD169" s="42"/>
      <c r="AE169" s="43"/>
      <c r="AF169" s="2">
        <f t="shared" si="50"/>
        <v>0</v>
      </c>
      <c r="AG169" s="42"/>
      <c r="AH169" s="43"/>
      <c r="AI169" s="2">
        <f t="shared" si="51"/>
        <v>0</v>
      </c>
      <c r="AJ169" s="97" t="str" cm="1">
        <f t="array" ref="AJ169">GETMENORVALOR(H169,K169,N169,Q169,T169,W169,Z169,AC169,AF169,AI169)</f>
        <v/>
      </c>
      <c r="AK169" s="98"/>
    </row>
    <row r="170" spans="1:37" hidden="1" x14ac:dyDescent="0.25">
      <c r="A170" s="10" t="str">
        <f t="shared" si="52"/>
        <v/>
      </c>
      <c r="B170" s="50"/>
      <c r="C170" s="39"/>
      <c r="D170" s="40"/>
      <c r="E170" s="41"/>
      <c r="F170" s="42"/>
      <c r="G170" s="43"/>
      <c r="H170" s="2">
        <f t="shared" si="42"/>
        <v>0</v>
      </c>
      <c r="I170" s="42"/>
      <c r="J170" s="43"/>
      <c r="K170" s="2">
        <f t="shared" si="43"/>
        <v>0</v>
      </c>
      <c r="L170" s="42"/>
      <c r="M170" s="43"/>
      <c r="N170" s="2">
        <f t="shared" si="44"/>
        <v>0</v>
      </c>
      <c r="O170" s="42"/>
      <c r="P170" s="43"/>
      <c r="Q170" s="2">
        <f t="shared" si="45"/>
        <v>0</v>
      </c>
      <c r="R170" s="42"/>
      <c r="S170" s="43"/>
      <c r="T170" s="2">
        <f t="shared" si="46"/>
        <v>0</v>
      </c>
      <c r="U170" s="42"/>
      <c r="V170" s="43"/>
      <c r="W170" s="2">
        <f t="shared" si="47"/>
        <v>0</v>
      </c>
      <c r="X170" s="42"/>
      <c r="Y170" s="43"/>
      <c r="Z170" s="2">
        <f t="shared" si="48"/>
        <v>0</v>
      </c>
      <c r="AA170" s="42"/>
      <c r="AB170" s="43"/>
      <c r="AC170" s="2">
        <f t="shared" si="49"/>
        <v>0</v>
      </c>
      <c r="AD170" s="42"/>
      <c r="AE170" s="43"/>
      <c r="AF170" s="2">
        <f t="shared" si="50"/>
        <v>0</v>
      </c>
      <c r="AG170" s="42"/>
      <c r="AH170" s="43"/>
      <c r="AI170" s="2">
        <f t="shared" si="51"/>
        <v>0</v>
      </c>
      <c r="AJ170" s="97" t="str" cm="1">
        <f t="array" ref="AJ170">GETMENORVALOR(H170,K170,N170,Q170,T170,W170,Z170,AC170,AF170,AI170)</f>
        <v/>
      </c>
      <c r="AK170" s="98"/>
    </row>
    <row r="171" spans="1:37" hidden="1" x14ac:dyDescent="0.25">
      <c r="A171" s="10" t="str">
        <f t="shared" si="52"/>
        <v/>
      </c>
      <c r="B171" s="50"/>
      <c r="C171" s="39"/>
      <c r="D171" s="40"/>
      <c r="E171" s="41"/>
      <c r="F171" s="42"/>
      <c r="G171" s="43"/>
      <c r="H171" s="2">
        <f t="shared" si="42"/>
        <v>0</v>
      </c>
      <c r="I171" s="42"/>
      <c r="J171" s="43"/>
      <c r="K171" s="2">
        <f t="shared" si="43"/>
        <v>0</v>
      </c>
      <c r="L171" s="42"/>
      <c r="M171" s="43"/>
      <c r="N171" s="2">
        <f t="shared" si="44"/>
        <v>0</v>
      </c>
      <c r="O171" s="42"/>
      <c r="P171" s="43"/>
      <c r="Q171" s="2">
        <f t="shared" si="45"/>
        <v>0</v>
      </c>
      <c r="R171" s="42"/>
      <c r="S171" s="43"/>
      <c r="T171" s="2">
        <f t="shared" si="46"/>
        <v>0</v>
      </c>
      <c r="U171" s="42"/>
      <c r="V171" s="43"/>
      <c r="W171" s="2">
        <f t="shared" si="47"/>
        <v>0</v>
      </c>
      <c r="X171" s="42"/>
      <c r="Y171" s="43"/>
      <c r="Z171" s="2">
        <f t="shared" si="48"/>
        <v>0</v>
      </c>
      <c r="AA171" s="42"/>
      <c r="AB171" s="43"/>
      <c r="AC171" s="2">
        <f t="shared" si="49"/>
        <v>0</v>
      </c>
      <c r="AD171" s="42"/>
      <c r="AE171" s="43"/>
      <c r="AF171" s="2">
        <f t="shared" si="50"/>
        <v>0</v>
      </c>
      <c r="AG171" s="42"/>
      <c r="AH171" s="43"/>
      <c r="AI171" s="2">
        <f t="shared" si="51"/>
        <v>0</v>
      </c>
      <c r="AJ171" s="97" t="str" cm="1">
        <f t="array" ref="AJ171">GETMENORVALOR(H171,K171,N171,Q171,T171,W171,Z171,AC171,AF171,AI171)</f>
        <v/>
      </c>
      <c r="AK171" s="98"/>
    </row>
    <row r="172" spans="1:37" hidden="1" x14ac:dyDescent="0.25">
      <c r="A172" s="10" t="str">
        <f t="shared" si="52"/>
        <v/>
      </c>
      <c r="B172" s="50"/>
      <c r="C172" s="39"/>
      <c r="D172" s="40"/>
      <c r="E172" s="41"/>
      <c r="F172" s="42"/>
      <c r="G172" s="43"/>
      <c r="H172" s="2">
        <f t="shared" si="42"/>
        <v>0</v>
      </c>
      <c r="I172" s="42"/>
      <c r="J172" s="43"/>
      <c r="K172" s="2">
        <f t="shared" si="43"/>
        <v>0</v>
      </c>
      <c r="L172" s="42"/>
      <c r="M172" s="43"/>
      <c r="N172" s="2">
        <f t="shared" si="44"/>
        <v>0</v>
      </c>
      <c r="O172" s="42"/>
      <c r="P172" s="43"/>
      <c r="Q172" s="2">
        <f t="shared" si="45"/>
        <v>0</v>
      </c>
      <c r="R172" s="42"/>
      <c r="S172" s="43"/>
      <c r="T172" s="2">
        <f t="shared" si="46"/>
        <v>0</v>
      </c>
      <c r="U172" s="42"/>
      <c r="V172" s="43"/>
      <c r="W172" s="2">
        <f t="shared" si="47"/>
        <v>0</v>
      </c>
      <c r="X172" s="42"/>
      <c r="Y172" s="43"/>
      <c r="Z172" s="2">
        <f t="shared" si="48"/>
        <v>0</v>
      </c>
      <c r="AA172" s="42"/>
      <c r="AB172" s="43"/>
      <c r="AC172" s="2">
        <f t="shared" si="49"/>
        <v>0</v>
      </c>
      <c r="AD172" s="42"/>
      <c r="AE172" s="43"/>
      <c r="AF172" s="2">
        <f t="shared" si="50"/>
        <v>0</v>
      </c>
      <c r="AG172" s="42"/>
      <c r="AH172" s="43"/>
      <c r="AI172" s="2">
        <f t="shared" si="51"/>
        <v>0</v>
      </c>
      <c r="AJ172" s="97" t="str" cm="1">
        <f t="array" ref="AJ172">GETMENORVALOR(H172,K172,N172,Q172,T172,W172,Z172,AC172,AF172,AI172)</f>
        <v/>
      </c>
      <c r="AK172" s="98"/>
    </row>
    <row r="173" spans="1:37" hidden="1" x14ac:dyDescent="0.25">
      <c r="A173" s="10" t="str">
        <f t="shared" si="52"/>
        <v/>
      </c>
      <c r="B173" s="50"/>
      <c r="C173" s="39"/>
      <c r="D173" s="40"/>
      <c r="E173" s="41"/>
      <c r="F173" s="42"/>
      <c r="G173" s="43"/>
      <c r="H173" s="2">
        <f t="shared" si="42"/>
        <v>0</v>
      </c>
      <c r="I173" s="42"/>
      <c r="J173" s="43"/>
      <c r="K173" s="2">
        <f t="shared" si="43"/>
        <v>0</v>
      </c>
      <c r="L173" s="42"/>
      <c r="M173" s="43"/>
      <c r="N173" s="2">
        <f t="shared" si="44"/>
        <v>0</v>
      </c>
      <c r="O173" s="42"/>
      <c r="P173" s="43"/>
      <c r="Q173" s="2">
        <f t="shared" si="45"/>
        <v>0</v>
      </c>
      <c r="R173" s="42"/>
      <c r="S173" s="43"/>
      <c r="T173" s="2">
        <f t="shared" si="46"/>
        <v>0</v>
      </c>
      <c r="U173" s="42"/>
      <c r="V173" s="43"/>
      <c r="W173" s="2">
        <f t="shared" si="47"/>
        <v>0</v>
      </c>
      <c r="X173" s="42"/>
      <c r="Y173" s="43"/>
      <c r="Z173" s="2">
        <f t="shared" si="48"/>
        <v>0</v>
      </c>
      <c r="AA173" s="42"/>
      <c r="AB173" s="43"/>
      <c r="AC173" s="2">
        <f t="shared" si="49"/>
        <v>0</v>
      </c>
      <c r="AD173" s="42"/>
      <c r="AE173" s="43"/>
      <c r="AF173" s="2">
        <f t="shared" si="50"/>
        <v>0</v>
      </c>
      <c r="AG173" s="42"/>
      <c r="AH173" s="43"/>
      <c r="AI173" s="2">
        <f t="shared" si="51"/>
        <v>0</v>
      </c>
      <c r="AJ173" s="97" t="str" cm="1">
        <f t="array" ref="AJ173">GETMENORVALOR(H173,K173,N173,Q173,T173,W173,Z173,AC173,AF173,AI173)</f>
        <v/>
      </c>
      <c r="AK173" s="98"/>
    </row>
    <row r="174" spans="1:37" hidden="1" x14ac:dyDescent="0.25">
      <c r="A174" s="10" t="str">
        <f t="shared" si="52"/>
        <v/>
      </c>
      <c r="B174" s="50"/>
      <c r="C174" s="39"/>
      <c r="D174" s="40"/>
      <c r="E174" s="41"/>
      <c r="F174" s="42"/>
      <c r="G174" s="43"/>
      <c r="H174" s="2">
        <f t="shared" si="42"/>
        <v>0</v>
      </c>
      <c r="I174" s="42"/>
      <c r="J174" s="43"/>
      <c r="K174" s="2">
        <f t="shared" si="43"/>
        <v>0</v>
      </c>
      <c r="L174" s="42"/>
      <c r="M174" s="43"/>
      <c r="N174" s="2">
        <f t="shared" si="44"/>
        <v>0</v>
      </c>
      <c r="O174" s="42"/>
      <c r="P174" s="43"/>
      <c r="Q174" s="2">
        <f t="shared" si="45"/>
        <v>0</v>
      </c>
      <c r="R174" s="42"/>
      <c r="S174" s="43"/>
      <c r="T174" s="2">
        <f t="shared" si="46"/>
        <v>0</v>
      </c>
      <c r="U174" s="42"/>
      <c r="V174" s="43"/>
      <c r="W174" s="2">
        <f t="shared" si="47"/>
        <v>0</v>
      </c>
      <c r="X174" s="42"/>
      <c r="Y174" s="43"/>
      <c r="Z174" s="2">
        <f t="shared" si="48"/>
        <v>0</v>
      </c>
      <c r="AA174" s="42"/>
      <c r="AB174" s="43"/>
      <c r="AC174" s="2">
        <f t="shared" si="49"/>
        <v>0</v>
      </c>
      <c r="AD174" s="42"/>
      <c r="AE174" s="43"/>
      <c r="AF174" s="2">
        <f t="shared" si="50"/>
        <v>0</v>
      </c>
      <c r="AG174" s="42"/>
      <c r="AH174" s="43"/>
      <c r="AI174" s="2">
        <f t="shared" si="51"/>
        <v>0</v>
      </c>
      <c r="AJ174" s="97" t="str" cm="1">
        <f t="array" ref="AJ174">GETMENORVALOR(H174,K174,N174,Q174,T174,W174,Z174,AC174,AF174,AI174)</f>
        <v/>
      </c>
      <c r="AK174" s="98"/>
    </row>
    <row r="175" spans="1:37" hidden="1" x14ac:dyDescent="0.25">
      <c r="A175" s="10" t="str">
        <f t="shared" si="52"/>
        <v/>
      </c>
      <c r="B175" s="50"/>
      <c r="C175" s="39"/>
      <c r="D175" s="40"/>
      <c r="E175" s="41"/>
      <c r="F175" s="42"/>
      <c r="G175" s="43"/>
      <c r="H175" s="2">
        <f t="shared" si="42"/>
        <v>0</v>
      </c>
      <c r="I175" s="42"/>
      <c r="J175" s="43"/>
      <c r="K175" s="2">
        <f t="shared" si="43"/>
        <v>0</v>
      </c>
      <c r="L175" s="42"/>
      <c r="M175" s="43"/>
      <c r="N175" s="2">
        <f t="shared" si="44"/>
        <v>0</v>
      </c>
      <c r="O175" s="42"/>
      <c r="P175" s="43"/>
      <c r="Q175" s="2">
        <f t="shared" si="45"/>
        <v>0</v>
      </c>
      <c r="R175" s="42"/>
      <c r="S175" s="43"/>
      <c r="T175" s="2">
        <f t="shared" si="46"/>
        <v>0</v>
      </c>
      <c r="U175" s="42"/>
      <c r="V175" s="43"/>
      <c r="W175" s="2">
        <f t="shared" si="47"/>
        <v>0</v>
      </c>
      <c r="X175" s="42"/>
      <c r="Y175" s="43"/>
      <c r="Z175" s="2">
        <f t="shared" si="48"/>
        <v>0</v>
      </c>
      <c r="AA175" s="42"/>
      <c r="AB175" s="43"/>
      <c r="AC175" s="2">
        <f t="shared" si="49"/>
        <v>0</v>
      </c>
      <c r="AD175" s="42"/>
      <c r="AE175" s="43"/>
      <c r="AF175" s="2">
        <f t="shared" si="50"/>
        <v>0</v>
      </c>
      <c r="AG175" s="42"/>
      <c r="AH175" s="43"/>
      <c r="AI175" s="2">
        <f t="shared" si="51"/>
        <v>0</v>
      </c>
      <c r="AJ175" s="97" t="str" cm="1">
        <f t="array" ref="AJ175">GETMENORVALOR(H175,K175,N175,Q175,T175,W175,Z175,AC175,AF175,AI175)</f>
        <v/>
      </c>
      <c r="AK175" s="98"/>
    </row>
    <row r="176" spans="1:37" hidden="1" x14ac:dyDescent="0.25">
      <c r="A176" s="10" t="str">
        <f t="shared" si="52"/>
        <v/>
      </c>
      <c r="B176" s="50"/>
      <c r="C176" s="39"/>
      <c r="D176" s="40"/>
      <c r="E176" s="41"/>
      <c r="F176" s="42"/>
      <c r="G176" s="43"/>
      <c r="H176" s="2">
        <f t="shared" si="42"/>
        <v>0</v>
      </c>
      <c r="I176" s="42"/>
      <c r="J176" s="43"/>
      <c r="K176" s="2">
        <f t="shared" si="43"/>
        <v>0</v>
      </c>
      <c r="L176" s="42"/>
      <c r="M176" s="43"/>
      <c r="N176" s="2">
        <f t="shared" si="44"/>
        <v>0</v>
      </c>
      <c r="O176" s="42"/>
      <c r="P176" s="43"/>
      <c r="Q176" s="2">
        <f t="shared" si="45"/>
        <v>0</v>
      </c>
      <c r="R176" s="42"/>
      <c r="S176" s="43"/>
      <c r="T176" s="2">
        <f t="shared" si="46"/>
        <v>0</v>
      </c>
      <c r="U176" s="42"/>
      <c r="V176" s="43"/>
      <c r="W176" s="2">
        <f t="shared" si="47"/>
        <v>0</v>
      </c>
      <c r="X176" s="42"/>
      <c r="Y176" s="43"/>
      <c r="Z176" s="2">
        <f t="shared" si="48"/>
        <v>0</v>
      </c>
      <c r="AA176" s="42"/>
      <c r="AB176" s="43"/>
      <c r="AC176" s="2">
        <f t="shared" si="49"/>
        <v>0</v>
      </c>
      <c r="AD176" s="42"/>
      <c r="AE176" s="43"/>
      <c r="AF176" s="2">
        <f t="shared" si="50"/>
        <v>0</v>
      </c>
      <c r="AG176" s="42"/>
      <c r="AH176" s="43"/>
      <c r="AI176" s="2">
        <f t="shared" si="51"/>
        <v>0</v>
      </c>
      <c r="AJ176" s="97" t="str" cm="1">
        <f t="array" ref="AJ176">GETMENORVALOR(H176,K176,N176,Q176,T176,W176,Z176,AC176,AF176,AI176)</f>
        <v/>
      </c>
      <c r="AK176" s="98"/>
    </row>
    <row r="177" spans="1:37" hidden="1" x14ac:dyDescent="0.25">
      <c r="A177" s="10" t="str">
        <f t="shared" si="52"/>
        <v/>
      </c>
      <c r="B177" s="50"/>
      <c r="C177" s="39"/>
      <c r="D177" s="40"/>
      <c r="E177" s="41"/>
      <c r="F177" s="42"/>
      <c r="G177" s="43"/>
      <c r="H177" s="2">
        <f t="shared" si="42"/>
        <v>0</v>
      </c>
      <c r="I177" s="42"/>
      <c r="J177" s="43"/>
      <c r="K177" s="2">
        <f t="shared" si="43"/>
        <v>0</v>
      </c>
      <c r="L177" s="42"/>
      <c r="M177" s="43"/>
      <c r="N177" s="2">
        <f t="shared" si="44"/>
        <v>0</v>
      </c>
      <c r="O177" s="42"/>
      <c r="P177" s="43"/>
      <c r="Q177" s="2">
        <f t="shared" si="45"/>
        <v>0</v>
      </c>
      <c r="R177" s="42"/>
      <c r="S177" s="43"/>
      <c r="T177" s="2">
        <f t="shared" si="46"/>
        <v>0</v>
      </c>
      <c r="U177" s="42"/>
      <c r="V177" s="43"/>
      <c r="W177" s="2">
        <f t="shared" si="47"/>
        <v>0</v>
      </c>
      <c r="X177" s="42"/>
      <c r="Y177" s="43"/>
      <c r="Z177" s="2">
        <f t="shared" si="48"/>
        <v>0</v>
      </c>
      <c r="AA177" s="42"/>
      <c r="AB177" s="43"/>
      <c r="AC177" s="2">
        <f t="shared" si="49"/>
        <v>0</v>
      </c>
      <c r="AD177" s="42"/>
      <c r="AE177" s="43"/>
      <c r="AF177" s="2">
        <f t="shared" si="50"/>
        <v>0</v>
      </c>
      <c r="AG177" s="42"/>
      <c r="AH177" s="43"/>
      <c r="AI177" s="2">
        <f t="shared" si="51"/>
        <v>0</v>
      </c>
      <c r="AJ177" s="97" t="str" cm="1">
        <f t="array" ref="AJ177">GETMENORVALOR(H177,K177,N177,Q177,T177,W177,Z177,AC177,AF177,AI177)</f>
        <v/>
      </c>
      <c r="AK177" s="98"/>
    </row>
    <row r="178" spans="1:37" hidden="1" x14ac:dyDescent="0.25">
      <c r="A178" s="10" t="str">
        <f t="shared" si="52"/>
        <v/>
      </c>
      <c r="B178" s="50"/>
      <c r="C178" s="39"/>
      <c r="D178" s="40"/>
      <c r="E178" s="41"/>
      <c r="F178" s="42"/>
      <c r="G178" s="43"/>
      <c r="H178" s="2">
        <f t="shared" ref="H178:H209" si="53">IF($A178&lt;&gt;"", F178 * $D178 * (1 - G178), 0)</f>
        <v>0</v>
      </c>
      <c r="I178" s="42"/>
      <c r="J178" s="43"/>
      <c r="K178" s="2">
        <f t="shared" ref="K178:K209" si="54">IF($A178&lt;&gt;"", I178 * $D178 * (1 - J178), 0)</f>
        <v>0</v>
      </c>
      <c r="L178" s="42"/>
      <c r="M178" s="43"/>
      <c r="N178" s="2">
        <f t="shared" ref="N178:N209" si="55">IF($A178&lt;&gt;"", L178 * $D178 * (1 - M178), 0)</f>
        <v>0</v>
      </c>
      <c r="O178" s="42"/>
      <c r="P178" s="43"/>
      <c r="Q178" s="2">
        <f t="shared" ref="Q178:Q209" si="56">IF($A178&lt;&gt;"", O178 * $D178 * (1 - P178), 0)</f>
        <v>0</v>
      </c>
      <c r="R178" s="42"/>
      <c r="S178" s="43"/>
      <c r="T178" s="2">
        <f t="shared" ref="T178:T209" si="57">IF($A178&lt;&gt;"", R178 * $D178 * (1 - S178), 0)</f>
        <v>0</v>
      </c>
      <c r="U178" s="42"/>
      <c r="V178" s="43"/>
      <c r="W178" s="2">
        <f t="shared" ref="W178:W209" si="58">IF($A178&lt;&gt;"", U178 * $D178 * (1 - V178), 0)</f>
        <v>0</v>
      </c>
      <c r="X178" s="42"/>
      <c r="Y178" s="43"/>
      <c r="Z178" s="2">
        <f t="shared" ref="Z178:Z209" si="59">IF($A178&lt;&gt;"", X178 * $D178 * (1 - Y178), 0)</f>
        <v>0</v>
      </c>
      <c r="AA178" s="42"/>
      <c r="AB178" s="43"/>
      <c r="AC178" s="2">
        <f t="shared" ref="AC178:AC209" si="60">IF($A178&lt;&gt;"", AA178 * $D178 * (1 - AB178), 0)</f>
        <v>0</v>
      </c>
      <c r="AD178" s="42"/>
      <c r="AE178" s="43"/>
      <c r="AF178" s="2">
        <f t="shared" ref="AF178:AF209" si="61">IF($A178&lt;&gt;"", AD178 * $D178 * (1 - AE178), 0)</f>
        <v>0</v>
      </c>
      <c r="AG178" s="42"/>
      <c r="AH178" s="43"/>
      <c r="AI178" s="2">
        <f t="shared" ref="AI178:AI209" si="62">IF($A178&lt;&gt;"", AG178 * $D178 * (1 - AH178), 0)</f>
        <v>0</v>
      </c>
      <c r="AJ178" s="97" t="str" cm="1">
        <f t="array" ref="AJ178">GETMENORVALOR(H178,K178,N178,Q178,T178,W178,Z178,AC178,AF178,AI178)</f>
        <v/>
      </c>
      <c r="AK178" s="98"/>
    </row>
    <row r="179" spans="1:37" hidden="1" x14ac:dyDescent="0.25">
      <c r="A179" s="10" t="str">
        <f t="shared" si="52"/>
        <v/>
      </c>
      <c r="B179" s="50"/>
      <c r="C179" s="39"/>
      <c r="D179" s="40"/>
      <c r="E179" s="41"/>
      <c r="F179" s="42"/>
      <c r="G179" s="43"/>
      <c r="H179" s="2">
        <f t="shared" si="53"/>
        <v>0</v>
      </c>
      <c r="I179" s="42"/>
      <c r="J179" s="43"/>
      <c r="K179" s="2">
        <f t="shared" si="54"/>
        <v>0</v>
      </c>
      <c r="L179" s="42"/>
      <c r="M179" s="43"/>
      <c r="N179" s="2">
        <f t="shared" si="55"/>
        <v>0</v>
      </c>
      <c r="O179" s="42"/>
      <c r="P179" s="43"/>
      <c r="Q179" s="2">
        <f t="shared" si="56"/>
        <v>0</v>
      </c>
      <c r="R179" s="42"/>
      <c r="S179" s="43"/>
      <c r="T179" s="2">
        <f t="shared" si="57"/>
        <v>0</v>
      </c>
      <c r="U179" s="42"/>
      <c r="V179" s="43"/>
      <c r="W179" s="2">
        <f t="shared" si="58"/>
        <v>0</v>
      </c>
      <c r="X179" s="42"/>
      <c r="Y179" s="43"/>
      <c r="Z179" s="2">
        <f t="shared" si="59"/>
        <v>0</v>
      </c>
      <c r="AA179" s="42"/>
      <c r="AB179" s="43"/>
      <c r="AC179" s="2">
        <f t="shared" si="60"/>
        <v>0</v>
      </c>
      <c r="AD179" s="42"/>
      <c r="AE179" s="43"/>
      <c r="AF179" s="2">
        <f t="shared" si="61"/>
        <v>0</v>
      </c>
      <c r="AG179" s="42"/>
      <c r="AH179" s="43"/>
      <c r="AI179" s="2">
        <f t="shared" si="62"/>
        <v>0</v>
      </c>
      <c r="AJ179" s="97" t="str" cm="1">
        <f t="array" ref="AJ179">GETMENORVALOR(H179,K179,N179,Q179,T179,W179,Z179,AC179,AF179,AI179)</f>
        <v/>
      </c>
      <c r="AK179" s="98"/>
    </row>
    <row r="180" spans="1:37" hidden="1" x14ac:dyDescent="0.25">
      <c r="A180" s="10" t="str">
        <f t="shared" si="52"/>
        <v/>
      </c>
      <c r="B180" s="50"/>
      <c r="C180" s="39"/>
      <c r="D180" s="40"/>
      <c r="E180" s="41"/>
      <c r="F180" s="42"/>
      <c r="G180" s="43"/>
      <c r="H180" s="2">
        <f t="shared" si="53"/>
        <v>0</v>
      </c>
      <c r="I180" s="42"/>
      <c r="J180" s="43"/>
      <c r="K180" s="2">
        <f t="shared" si="54"/>
        <v>0</v>
      </c>
      <c r="L180" s="42"/>
      <c r="M180" s="43"/>
      <c r="N180" s="2">
        <f t="shared" si="55"/>
        <v>0</v>
      </c>
      <c r="O180" s="42"/>
      <c r="P180" s="43"/>
      <c r="Q180" s="2">
        <f t="shared" si="56"/>
        <v>0</v>
      </c>
      <c r="R180" s="42"/>
      <c r="S180" s="43"/>
      <c r="T180" s="2">
        <f t="shared" si="57"/>
        <v>0</v>
      </c>
      <c r="U180" s="42"/>
      <c r="V180" s="43"/>
      <c r="W180" s="2">
        <f t="shared" si="58"/>
        <v>0</v>
      </c>
      <c r="X180" s="42"/>
      <c r="Y180" s="43"/>
      <c r="Z180" s="2">
        <f t="shared" si="59"/>
        <v>0</v>
      </c>
      <c r="AA180" s="42"/>
      <c r="AB180" s="43"/>
      <c r="AC180" s="2">
        <f t="shared" si="60"/>
        <v>0</v>
      </c>
      <c r="AD180" s="42"/>
      <c r="AE180" s="43"/>
      <c r="AF180" s="2">
        <f t="shared" si="61"/>
        <v>0</v>
      </c>
      <c r="AG180" s="42"/>
      <c r="AH180" s="43"/>
      <c r="AI180" s="2">
        <f t="shared" si="62"/>
        <v>0</v>
      </c>
      <c r="AJ180" s="97" t="str" cm="1">
        <f t="array" ref="AJ180">GETMENORVALOR(H180,K180,N180,Q180,T180,W180,Z180,AC180,AF180,AI180)</f>
        <v/>
      </c>
      <c r="AK180" s="98"/>
    </row>
    <row r="181" spans="1:37" hidden="1" x14ac:dyDescent="0.25">
      <c r="A181" s="10" t="str">
        <f t="shared" si="52"/>
        <v/>
      </c>
      <c r="B181" s="50"/>
      <c r="C181" s="39"/>
      <c r="D181" s="40"/>
      <c r="E181" s="41"/>
      <c r="F181" s="42"/>
      <c r="G181" s="43"/>
      <c r="H181" s="2">
        <f t="shared" si="53"/>
        <v>0</v>
      </c>
      <c r="I181" s="42"/>
      <c r="J181" s="43"/>
      <c r="K181" s="2">
        <f t="shared" si="54"/>
        <v>0</v>
      </c>
      <c r="L181" s="42"/>
      <c r="M181" s="43"/>
      <c r="N181" s="2">
        <f t="shared" si="55"/>
        <v>0</v>
      </c>
      <c r="O181" s="42"/>
      <c r="P181" s="43"/>
      <c r="Q181" s="2">
        <f t="shared" si="56"/>
        <v>0</v>
      </c>
      <c r="R181" s="42"/>
      <c r="S181" s="43"/>
      <c r="T181" s="2">
        <f t="shared" si="57"/>
        <v>0</v>
      </c>
      <c r="U181" s="42"/>
      <c r="V181" s="43"/>
      <c r="W181" s="2">
        <f t="shared" si="58"/>
        <v>0</v>
      </c>
      <c r="X181" s="42"/>
      <c r="Y181" s="43"/>
      <c r="Z181" s="2">
        <f t="shared" si="59"/>
        <v>0</v>
      </c>
      <c r="AA181" s="42"/>
      <c r="AB181" s="43"/>
      <c r="AC181" s="2">
        <f t="shared" si="60"/>
        <v>0</v>
      </c>
      <c r="AD181" s="42"/>
      <c r="AE181" s="43"/>
      <c r="AF181" s="2">
        <f t="shared" si="61"/>
        <v>0</v>
      </c>
      <c r="AG181" s="42"/>
      <c r="AH181" s="43"/>
      <c r="AI181" s="2">
        <f t="shared" si="62"/>
        <v>0</v>
      </c>
      <c r="AJ181" s="97" t="str" cm="1">
        <f t="array" ref="AJ181">GETMENORVALOR(H181,K181,N181,Q181,T181,W181,Z181,AC181,AF181,AI181)</f>
        <v/>
      </c>
      <c r="AK181" s="98"/>
    </row>
    <row r="182" spans="1:37" hidden="1" x14ac:dyDescent="0.25">
      <c r="A182" s="10" t="str">
        <f t="shared" si="52"/>
        <v/>
      </c>
      <c r="B182" s="50"/>
      <c r="C182" s="39"/>
      <c r="D182" s="40"/>
      <c r="E182" s="41"/>
      <c r="F182" s="42"/>
      <c r="G182" s="43"/>
      <c r="H182" s="2">
        <f t="shared" si="53"/>
        <v>0</v>
      </c>
      <c r="I182" s="42"/>
      <c r="J182" s="43"/>
      <c r="K182" s="2">
        <f t="shared" si="54"/>
        <v>0</v>
      </c>
      <c r="L182" s="42"/>
      <c r="M182" s="43"/>
      <c r="N182" s="2">
        <f t="shared" si="55"/>
        <v>0</v>
      </c>
      <c r="O182" s="42"/>
      <c r="P182" s="43"/>
      <c r="Q182" s="2">
        <f t="shared" si="56"/>
        <v>0</v>
      </c>
      <c r="R182" s="42"/>
      <c r="S182" s="43"/>
      <c r="T182" s="2">
        <f t="shared" si="57"/>
        <v>0</v>
      </c>
      <c r="U182" s="42"/>
      <c r="V182" s="43"/>
      <c r="W182" s="2">
        <f t="shared" si="58"/>
        <v>0</v>
      </c>
      <c r="X182" s="42"/>
      <c r="Y182" s="43"/>
      <c r="Z182" s="2">
        <f t="shared" si="59"/>
        <v>0</v>
      </c>
      <c r="AA182" s="42"/>
      <c r="AB182" s="43"/>
      <c r="AC182" s="2">
        <f t="shared" si="60"/>
        <v>0</v>
      </c>
      <c r="AD182" s="42"/>
      <c r="AE182" s="43"/>
      <c r="AF182" s="2">
        <f t="shared" si="61"/>
        <v>0</v>
      </c>
      <c r="AG182" s="42"/>
      <c r="AH182" s="43"/>
      <c r="AI182" s="2">
        <f t="shared" si="62"/>
        <v>0</v>
      </c>
      <c r="AJ182" s="97" t="str" cm="1">
        <f t="array" ref="AJ182">GETMENORVALOR(H182,K182,N182,Q182,T182,W182,Z182,AC182,AF182,AI182)</f>
        <v/>
      </c>
      <c r="AK182" s="98"/>
    </row>
    <row r="183" spans="1:37" hidden="1" x14ac:dyDescent="0.25">
      <c r="A183" s="10" t="str">
        <f t="shared" si="52"/>
        <v/>
      </c>
      <c r="B183" s="50"/>
      <c r="C183" s="39"/>
      <c r="D183" s="40"/>
      <c r="E183" s="41"/>
      <c r="F183" s="42"/>
      <c r="G183" s="43"/>
      <c r="H183" s="2">
        <f t="shared" si="53"/>
        <v>0</v>
      </c>
      <c r="I183" s="42"/>
      <c r="J183" s="43"/>
      <c r="K183" s="2">
        <f t="shared" si="54"/>
        <v>0</v>
      </c>
      <c r="L183" s="42"/>
      <c r="M183" s="43"/>
      <c r="N183" s="2">
        <f t="shared" si="55"/>
        <v>0</v>
      </c>
      <c r="O183" s="42"/>
      <c r="P183" s="43"/>
      <c r="Q183" s="2">
        <f t="shared" si="56"/>
        <v>0</v>
      </c>
      <c r="R183" s="42"/>
      <c r="S183" s="43"/>
      <c r="T183" s="2">
        <f t="shared" si="57"/>
        <v>0</v>
      </c>
      <c r="U183" s="42"/>
      <c r="V183" s="43"/>
      <c r="W183" s="2">
        <f t="shared" si="58"/>
        <v>0</v>
      </c>
      <c r="X183" s="42"/>
      <c r="Y183" s="43"/>
      <c r="Z183" s="2">
        <f t="shared" si="59"/>
        <v>0</v>
      </c>
      <c r="AA183" s="42"/>
      <c r="AB183" s="43"/>
      <c r="AC183" s="2">
        <f t="shared" si="60"/>
        <v>0</v>
      </c>
      <c r="AD183" s="42"/>
      <c r="AE183" s="43"/>
      <c r="AF183" s="2">
        <f t="shared" si="61"/>
        <v>0</v>
      </c>
      <c r="AG183" s="42"/>
      <c r="AH183" s="43"/>
      <c r="AI183" s="2">
        <f t="shared" si="62"/>
        <v>0</v>
      </c>
      <c r="AJ183" s="97" t="str" cm="1">
        <f t="array" ref="AJ183">GETMENORVALOR(H183,K183,N183,Q183,T183,W183,Z183,AC183,AF183,AI183)</f>
        <v/>
      </c>
      <c r="AK183" s="98"/>
    </row>
    <row r="184" spans="1:37" hidden="1" x14ac:dyDescent="0.25">
      <c r="A184" s="10" t="str">
        <f t="shared" si="52"/>
        <v/>
      </c>
      <c r="B184" s="50"/>
      <c r="C184" s="39"/>
      <c r="D184" s="40"/>
      <c r="E184" s="41"/>
      <c r="F184" s="42"/>
      <c r="G184" s="43"/>
      <c r="H184" s="2">
        <f t="shared" si="53"/>
        <v>0</v>
      </c>
      <c r="I184" s="42"/>
      <c r="J184" s="43"/>
      <c r="K184" s="2">
        <f t="shared" si="54"/>
        <v>0</v>
      </c>
      <c r="L184" s="42"/>
      <c r="M184" s="43"/>
      <c r="N184" s="2">
        <f t="shared" si="55"/>
        <v>0</v>
      </c>
      <c r="O184" s="42"/>
      <c r="P184" s="43"/>
      <c r="Q184" s="2">
        <f t="shared" si="56"/>
        <v>0</v>
      </c>
      <c r="R184" s="42"/>
      <c r="S184" s="43"/>
      <c r="T184" s="2">
        <f t="shared" si="57"/>
        <v>0</v>
      </c>
      <c r="U184" s="42"/>
      <c r="V184" s="43"/>
      <c r="W184" s="2">
        <f t="shared" si="58"/>
        <v>0</v>
      </c>
      <c r="X184" s="42"/>
      <c r="Y184" s="43"/>
      <c r="Z184" s="2">
        <f t="shared" si="59"/>
        <v>0</v>
      </c>
      <c r="AA184" s="42"/>
      <c r="AB184" s="43"/>
      <c r="AC184" s="2">
        <f t="shared" si="60"/>
        <v>0</v>
      </c>
      <c r="AD184" s="42"/>
      <c r="AE184" s="43"/>
      <c r="AF184" s="2">
        <f t="shared" si="61"/>
        <v>0</v>
      </c>
      <c r="AG184" s="42"/>
      <c r="AH184" s="43"/>
      <c r="AI184" s="2">
        <f t="shared" si="62"/>
        <v>0</v>
      </c>
      <c r="AJ184" s="97" t="str" cm="1">
        <f t="array" ref="AJ184">GETMENORVALOR(H184,K184,N184,Q184,T184,W184,Z184,AC184,AF184,AI184)</f>
        <v/>
      </c>
      <c r="AK184" s="98"/>
    </row>
    <row r="185" spans="1:37" hidden="1" x14ac:dyDescent="0.25">
      <c r="A185" s="10" t="str">
        <f t="shared" si="52"/>
        <v/>
      </c>
      <c r="B185" s="50"/>
      <c r="C185" s="39"/>
      <c r="D185" s="40"/>
      <c r="E185" s="41"/>
      <c r="F185" s="42"/>
      <c r="G185" s="43"/>
      <c r="H185" s="2">
        <f t="shared" si="53"/>
        <v>0</v>
      </c>
      <c r="I185" s="42"/>
      <c r="J185" s="43"/>
      <c r="K185" s="2">
        <f t="shared" si="54"/>
        <v>0</v>
      </c>
      <c r="L185" s="42"/>
      <c r="M185" s="43"/>
      <c r="N185" s="2">
        <f t="shared" si="55"/>
        <v>0</v>
      </c>
      <c r="O185" s="42"/>
      <c r="P185" s="43"/>
      <c r="Q185" s="2">
        <f t="shared" si="56"/>
        <v>0</v>
      </c>
      <c r="R185" s="42"/>
      <c r="S185" s="43"/>
      <c r="T185" s="2">
        <f t="shared" si="57"/>
        <v>0</v>
      </c>
      <c r="U185" s="42"/>
      <c r="V185" s="43"/>
      <c r="W185" s="2">
        <f t="shared" si="58"/>
        <v>0</v>
      </c>
      <c r="X185" s="42"/>
      <c r="Y185" s="43"/>
      <c r="Z185" s="2">
        <f t="shared" si="59"/>
        <v>0</v>
      </c>
      <c r="AA185" s="42"/>
      <c r="AB185" s="43"/>
      <c r="AC185" s="2">
        <f t="shared" si="60"/>
        <v>0</v>
      </c>
      <c r="AD185" s="42"/>
      <c r="AE185" s="43"/>
      <c r="AF185" s="2">
        <f t="shared" si="61"/>
        <v>0</v>
      </c>
      <c r="AG185" s="42"/>
      <c r="AH185" s="43"/>
      <c r="AI185" s="2">
        <f t="shared" si="62"/>
        <v>0</v>
      </c>
      <c r="AJ185" s="97" t="str" cm="1">
        <f t="array" ref="AJ185">GETMENORVALOR(H185,K185,N185,Q185,T185,W185,Z185,AC185,AF185,AI185)</f>
        <v/>
      </c>
      <c r="AK185" s="98"/>
    </row>
    <row r="186" spans="1:37" hidden="1" x14ac:dyDescent="0.25">
      <c r="A186" s="10" t="str">
        <f t="shared" si="52"/>
        <v/>
      </c>
      <c r="B186" s="50"/>
      <c r="C186" s="39"/>
      <c r="D186" s="40"/>
      <c r="E186" s="41"/>
      <c r="F186" s="42"/>
      <c r="G186" s="43"/>
      <c r="H186" s="2">
        <f t="shared" si="53"/>
        <v>0</v>
      </c>
      <c r="I186" s="42"/>
      <c r="J186" s="43"/>
      <c r="K186" s="2">
        <f t="shared" si="54"/>
        <v>0</v>
      </c>
      <c r="L186" s="42"/>
      <c r="M186" s="43"/>
      <c r="N186" s="2">
        <f t="shared" si="55"/>
        <v>0</v>
      </c>
      <c r="O186" s="42"/>
      <c r="P186" s="43"/>
      <c r="Q186" s="2">
        <f t="shared" si="56"/>
        <v>0</v>
      </c>
      <c r="R186" s="42"/>
      <c r="S186" s="43"/>
      <c r="T186" s="2">
        <f t="shared" si="57"/>
        <v>0</v>
      </c>
      <c r="U186" s="42"/>
      <c r="V186" s="43"/>
      <c r="W186" s="2">
        <f t="shared" si="58"/>
        <v>0</v>
      </c>
      <c r="X186" s="42"/>
      <c r="Y186" s="43"/>
      <c r="Z186" s="2">
        <f t="shared" si="59"/>
        <v>0</v>
      </c>
      <c r="AA186" s="42"/>
      <c r="AB186" s="43"/>
      <c r="AC186" s="2">
        <f t="shared" si="60"/>
        <v>0</v>
      </c>
      <c r="AD186" s="42"/>
      <c r="AE186" s="43"/>
      <c r="AF186" s="2">
        <f t="shared" si="61"/>
        <v>0</v>
      </c>
      <c r="AG186" s="42"/>
      <c r="AH186" s="43"/>
      <c r="AI186" s="2">
        <f t="shared" si="62"/>
        <v>0</v>
      </c>
      <c r="AJ186" s="97" t="str" cm="1">
        <f t="array" ref="AJ186">GETMENORVALOR(H186,K186,N186,Q186,T186,W186,Z186,AC186,AF186,AI186)</f>
        <v/>
      </c>
      <c r="AK186" s="98"/>
    </row>
    <row r="187" spans="1:37" hidden="1" x14ac:dyDescent="0.25">
      <c r="A187" s="10" t="str">
        <f t="shared" si="52"/>
        <v/>
      </c>
      <c r="B187" s="50"/>
      <c r="C187" s="39"/>
      <c r="D187" s="40"/>
      <c r="E187" s="41"/>
      <c r="F187" s="42"/>
      <c r="G187" s="43"/>
      <c r="H187" s="2">
        <f t="shared" si="53"/>
        <v>0</v>
      </c>
      <c r="I187" s="42"/>
      <c r="J187" s="43"/>
      <c r="K187" s="2">
        <f t="shared" si="54"/>
        <v>0</v>
      </c>
      <c r="L187" s="42"/>
      <c r="M187" s="43"/>
      <c r="N187" s="2">
        <f t="shared" si="55"/>
        <v>0</v>
      </c>
      <c r="O187" s="42"/>
      <c r="P187" s="43"/>
      <c r="Q187" s="2">
        <f t="shared" si="56"/>
        <v>0</v>
      </c>
      <c r="R187" s="42"/>
      <c r="S187" s="43"/>
      <c r="T187" s="2">
        <f t="shared" si="57"/>
        <v>0</v>
      </c>
      <c r="U187" s="42"/>
      <c r="V187" s="43"/>
      <c r="W187" s="2">
        <f t="shared" si="58"/>
        <v>0</v>
      </c>
      <c r="X187" s="42"/>
      <c r="Y187" s="43"/>
      <c r="Z187" s="2">
        <f t="shared" si="59"/>
        <v>0</v>
      </c>
      <c r="AA187" s="42"/>
      <c r="AB187" s="43"/>
      <c r="AC187" s="2">
        <f t="shared" si="60"/>
        <v>0</v>
      </c>
      <c r="AD187" s="42"/>
      <c r="AE187" s="43"/>
      <c r="AF187" s="2">
        <f t="shared" si="61"/>
        <v>0</v>
      </c>
      <c r="AG187" s="42"/>
      <c r="AH187" s="43"/>
      <c r="AI187" s="2">
        <f t="shared" si="62"/>
        <v>0</v>
      </c>
      <c r="AJ187" s="97" t="str" cm="1">
        <f t="array" ref="AJ187">GETMENORVALOR(H187,K187,N187,Q187,T187,W187,Z187,AC187,AF187,AI187)</f>
        <v/>
      </c>
      <c r="AK187" s="98"/>
    </row>
    <row r="188" spans="1:37" hidden="1" x14ac:dyDescent="0.25">
      <c r="A188" s="10" t="str">
        <f t="shared" si="52"/>
        <v/>
      </c>
      <c r="B188" s="50"/>
      <c r="C188" s="39"/>
      <c r="D188" s="40"/>
      <c r="E188" s="41"/>
      <c r="F188" s="42"/>
      <c r="G188" s="43"/>
      <c r="H188" s="2">
        <f t="shared" si="53"/>
        <v>0</v>
      </c>
      <c r="I188" s="42"/>
      <c r="J188" s="43"/>
      <c r="K188" s="2">
        <f t="shared" si="54"/>
        <v>0</v>
      </c>
      <c r="L188" s="42"/>
      <c r="M188" s="43"/>
      <c r="N188" s="2">
        <f t="shared" si="55"/>
        <v>0</v>
      </c>
      <c r="O188" s="42"/>
      <c r="P188" s="43"/>
      <c r="Q188" s="2">
        <f t="shared" si="56"/>
        <v>0</v>
      </c>
      <c r="R188" s="42"/>
      <c r="S188" s="43"/>
      <c r="T188" s="2">
        <f t="shared" si="57"/>
        <v>0</v>
      </c>
      <c r="U188" s="42"/>
      <c r="V188" s="43"/>
      <c r="W188" s="2">
        <f t="shared" si="58"/>
        <v>0</v>
      </c>
      <c r="X188" s="42"/>
      <c r="Y188" s="43"/>
      <c r="Z188" s="2">
        <f t="shared" si="59"/>
        <v>0</v>
      </c>
      <c r="AA188" s="42"/>
      <c r="AB188" s="43"/>
      <c r="AC188" s="2">
        <f t="shared" si="60"/>
        <v>0</v>
      </c>
      <c r="AD188" s="42"/>
      <c r="AE188" s="43"/>
      <c r="AF188" s="2">
        <f t="shared" si="61"/>
        <v>0</v>
      </c>
      <c r="AG188" s="42"/>
      <c r="AH188" s="43"/>
      <c r="AI188" s="2">
        <f t="shared" si="62"/>
        <v>0</v>
      </c>
      <c r="AJ188" s="97" t="str" cm="1">
        <f t="array" ref="AJ188">GETMENORVALOR(H188,K188,N188,Q188,T188,W188,Z188,AC188,AF188,AI188)</f>
        <v/>
      </c>
      <c r="AK188" s="98"/>
    </row>
    <row r="189" spans="1:37" hidden="1" x14ac:dyDescent="0.25">
      <c r="A189" s="10" t="str">
        <f t="shared" si="52"/>
        <v/>
      </c>
      <c r="B189" s="50"/>
      <c r="C189" s="39"/>
      <c r="D189" s="40"/>
      <c r="E189" s="41"/>
      <c r="F189" s="42"/>
      <c r="G189" s="43"/>
      <c r="H189" s="2">
        <f t="shared" si="53"/>
        <v>0</v>
      </c>
      <c r="I189" s="42"/>
      <c r="J189" s="43"/>
      <c r="K189" s="2">
        <f t="shared" si="54"/>
        <v>0</v>
      </c>
      <c r="L189" s="42"/>
      <c r="M189" s="43"/>
      <c r="N189" s="2">
        <f t="shared" si="55"/>
        <v>0</v>
      </c>
      <c r="O189" s="42"/>
      <c r="P189" s="43"/>
      <c r="Q189" s="2">
        <f t="shared" si="56"/>
        <v>0</v>
      </c>
      <c r="R189" s="42"/>
      <c r="S189" s="43"/>
      <c r="T189" s="2">
        <f t="shared" si="57"/>
        <v>0</v>
      </c>
      <c r="U189" s="42"/>
      <c r="V189" s="43"/>
      <c r="W189" s="2">
        <f t="shared" si="58"/>
        <v>0</v>
      </c>
      <c r="X189" s="42"/>
      <c r="Y189" s="43"/>
      <c r="Z189" s="2">
        <f t="shared" si="59"/>
        <v>0</v>
      </c>
      <c r="AA189" s="42"/>
      <c r="AB189" s="43"/>
      <c r="AC189" s="2">
        <f t="shared" si="60"/>
        <v>0</v>
      </c>
      <c r="AD189" s="42"/>
      <c r="AE189" s="43"/>
      <c r="AF189" s="2">
        <f t="shared" si="61"/>
        <v>0</v>
      </c>
      <c r="AG189" s="42"/>
      <c r="AH189" s="43"/>
      <c r="AI189" s="2">
        <f t="shared" si="62"/>
        <v>0</v>
      </c>
      <c r="AJ189" s="97" t="str" cm="1">
        <f t="array" ref="AJ189">GETMENORVALOR(H189,K189,N189,Q189,T189,W189,Z189,AC189,AF189,AI189)</f>
        <v/>
      </c>
      <c r="AK189" s="98"/>
    </row>
    <row r="190" spans="1:37" hidden="1" x14ac:dyDescent="0.25">
      <c r="A190" s="10" t="str">
        <f t="shared" si="52"/>
        <v/>
      </c>
      <c r="B190" s="50"/>
      <c r="C190" s="39"/>
      <c r="D190" s="40"/>
      <c r="E190" s="41"/>
      <c r="F190" s="42"/>
      <c r="G190" s="43"/>
      <c r="H190" s="2">
        <f t="shared" si="53"/>
        <v>0</v>
      </c>
      <c r="I190" s="42"/>
      <c r="J190" s="43"/>
      <c r="K190" s="2">
        <f t="shared" si="54"/>
        <v>0</v>
      </c>
      <c r="L190" s="42"/>
      <c r="M190" s="43"/>
      <c r="N190" s="2">
        <f t="shared" si="55"/>
        <v>0</v>
      </c>
      <c r="O190" s="42"/>
      <c r="P190" s="43"/>
      <c r="Q190" s="2">
        <f t="shared" si="56"/>
        <v>0</v>
      </c>
      <c r="R190" s="42"/>
      <c r="S190" s="43"/>
      <c r="T190" s="2">
        <f t="shared" si="57"/>
        <v>0</v>
      </c>
      <c r="U190" s="42"/>
      <c r="V190" s="43"/>
      <c r="W190" s="2">
        <f t="shared" si="58"/>
        <v>0</v>
      </c>
      <c r="X190" s="42"/>
      <c r="Y190" s="43"/>
      <c r="Z190" s="2">
        <f t="shared" si="59"/>
        <v>0</v>
      </c>
      <c r="AA190" s="42"/>
      <c r="AB190" s="43"/>
      <c r="AC190" s="2">
        <f t="shared" si="60"/>
        <v>0</v>
      </c>
      <c r="AD190" s="42"/>
      <c r="AE190" s="43"/>
      <c r="AF190" s="2">
        <f t="shared" si="61"/>
        <v>0</v>
      </c>
      <c r="AG190" s="42"/>
      <c r="AH190" s="43"/>
      <c r="AI190" s="2">
        <f t="shared" si="62"/>
        <v>0</v>
      </c>
      <c r="AJ190" s="97" t="str" cm="1">
        <f t="array" ref="AJ190">GETMENORVALOR(H190,K190,N190,Q190,T190,W190,Z190,AC190,AF190,AI190)</f>
        <v/>
      </c>
      <c r="AK190" s="98"/>
    </row>
    <row r="191" spans="1:37" hidden="1" x14ac:dyDescent="0.25">
      <c r="A191" s="10" t="str">
        <f t="shared" si="52"/>
        <v/>
      </c>
      <c r="B191" s="50"/>
      <c r="C191" s="39"/>
      <c r="D191" s="40"/>
      <c r="E191" s="41"/>
      <c r="F191" s="42"/>
      <c r="G191" s="43"/>
      <c r="H191" s="2">
        <f t="shared" si="53"/>
        <v>0</v>
      </c>
      <c r="I191" s="42"/>
      <c r="J191" s="43"/>
      <c r="K191" s="2">
        <f t="shared" si="54"/>
        <v>0</v>
      </c>
      <c r="L191" s="42"/>
      <c r="M191" s="43"/>
      <c r="N191" s="2">
        <f t="shared" si="55"/>
        <v>0</v>
      </c>
      <c r="O191" s="42"/>
      <c r="P191" s="43"/>
      <c r="Q191" s="2">
        <f t="shared" si="56"/>
        <v>0</v>
      </c>
      <c r="R191" s="42"/>
      <c r="S191" s="43"/>
      <c r="T191" s="2">
        <f t="shared" si="57"/>
        <v>0</v>
      </c>
      <c r="U191" s="42"/>
      <c r="V191" s="43"/>
      <c r="W191" s="2">
        <f t="shared" si="58"/>
        <v>0</v>
      </c>
      <c r="X191" s="42"/>
      <c r="Y191" s="43"/>
      <c r="Z191" s="2">
        <f t="shared" si="59"/>
        <v>0</v>
      </c>
      <c r="AA191" s="42"/>
      <c r="AB191" s="43"/>
      <c r="AC191" s="2">
        <f t="shared" si="60"/>
        <v>0</v>
      </c>
      <c r="AD191" s="42"/>
      <c r="AE191" s="43"/>
      <c r="AF191" s="2">
        <f t="shared" si="61"/>
        <v>0</v>
      </c>
      <c r="AG191" s="42"/>
      <c r="AH191" s="43"/>
      <c r="AI191" s="2">
        <f t="shared" si="62"/>
        <v>0</v>
      </c>
      <c r="AJ191" s="97" t="str" cm="1">
        <f t="array" ref="AJ191">GETMENORVALOR(H191,K191,N191,Q191,T191,W191,Z191,AC191,AF191,AI191)</f>
        <v/>
      </c>
      <c r="AK191" s="98"/>
    </row>
    <row r="192" spans="1:37" hidden="1" x14ac:dyDescent="0.25">
      <c r="A192" s="10" t="str">
        <f t="shared" si="52"/>
        <v/>
      </c>
      <c r="B192" s="50"/>
      <c r="C192" s="39"/>
      <c r="D192" s="40"/>
      <c r="E192" s="41"/>
      <c r="F192" s="42"/>
      <c r="G192" s="43"/>
      <c r="H192" s="2">
        <f t="shared" si="53"/>
        <v>0</v>
      </c>
      <c r="I192" s="42"/>
      <c r="J192" s="43"/>
      <c r="K192" s="2">
        <f t="shared" si="54"/>
        <v>0</v>
      </c>
      <c r="L192" s="42"/>
      <c r="M192" s="43"/>
      <c r="N192" s="2">
        <f t="shared" si="55"/>
        <v>0</v>
      </c>
      <c r="O192" s="42"/>
      <c r="P192" s="43"/>
      <c r="Q192" s="2">
        <f t="shared" si="56"/>
        <v>0</v>
      </c>
      <c r="R192" s="42"/>
      <c r="S192" s="43"/>
      <c r="T192" s="2">
        <f t="shared" si="57"/>
        <v>0</v>
      </c>
      <c r="U192" s="42"/>
      <c r="V192" s="43"/>
      <c r="W192" s="2">
        <f t="shared" si="58"/>
        <v>0</v>
      </c>
      <c r="X192" s="42"/>
      <c r="Y192" s="43"/>
      <c r="Z192" s="2">
        <f t="shared" si="59"/>
        <v>0</v>
      </c>
      <c r="AA192" s="42"/>
      <c r="AB192" s="43"/>
      <c r="AC192" s="2">
        <f t="shared" si="60"/>
        <v>0</v>
      </c>
      <c r="AD192" s="42"/>
      <c r="AE192" s="43"/>
      <c r="AF192" s="2">
        <f t="shared" si="61"/>
        <v>0</v>
      </c>
      <c r="AG192" s="42"/>
      <c r="AH192" s="43"/>
      <c r="AI192" s="2">
        <f t="shared" si="62"/>
        <v>0</v>
      </c>
      <c r="AJ192" s="97" t="str" cm="1">
        <f t="array" ref="AJ192">GETMENORVALOR(H192,K192,N192,Q192,T192,W192,Z192,AC192,AF192,AI192)</f>
        <v/>
      </c>
      <c r="AK192" s="98"/>
    </row>
    <row r="193" spans="1:37" hidden="1" x14ac:dyDescent="0.25">
      <c r="A193" s="10" t="str">
        <f t="shared" si="52"/>
        <v/>
      </c>
      <c r="B193" s="50"/>
      <c r="C193" s="39"/>
      <c r="D193" s="40"/>
      <c r="E193" s="41"/>
      <c r="F193" s="42"/>
      <c r="G193" s="43"/>
      <c r="H193" s="2">
        <f t="shared" si="53"/>
        <v>0</v>
      </c>
      <c r="I193" s="42"/>
      <c r="J193" s="43"/>
      <c r="K193" s="2">
        <f t="shared" si="54"/>
        <v>0</v>
      </c>
      <c r="L193" s="42"/>
      <c r="M193" s="43"/>
      <c r="N193" s="2">
        <f t="shared" si="55"/>
        <v>0</v>
      </c>
      <c r="O193" s="42"/>
      <c r="P193" s="43"/>
      <c r="Q193" s="2">
        <f t="shared" si="56"/>
        <v>0</v>
      </c>
      <c r="R193" s="42"/>
      <c r="S193" s="43"/>
      <c r="T193" s="2">
        <f t="shared" si="57"/>
        <v>0</v>
      </c>
      <c r="U193" s="42"/>
      <c r="V193" s="43"/>
      <c r="W193" s="2">
        <f t="shared" si="58"/>
        <v>0</v>
      </c>
      <c r="X193" s="42"/>
      <c r="Y193" s="43"/>
      <c r="Z193" s="2">
        <f t="shared" si="59"/>
        <v>0</v>
      </c>
      <c r="AA193" s="42"/>
      <c r="AB193" s="43"/>
      <c r="AC193" s="2">
        <f t="shared" si="60"/>
        <v>0</v>
      </c>
      <c r="AD193" s="42"/>
      <c r="AE193" s="43"/>
      <c r="AF193" s="2">
        <f t="shared" si="61"/>
        <v>0</v>
      </c>
      <c r="AG193" s="42"/>
      <c r="AH193" s="43"/>
      <c r="AI193" s="2">
        <f t="shared" si="62"/>
        <v>0</v>
      </c>
      <c r="AJ193" s="97" t="str" cm="1">
        <f t="array" ref="AJ193">GETMENORVALOR(H193,K193,N193,Q193,T193,W193,Z193,AC193,AF193,AI193)</f>
        <v/>
      </c>
      <c r="AK193" s="98"/>
    </row>
    <row r="194" spans="1:37" hidden="1" x14ac:dyDescent="0.25">
      <c r="A194" s="10" t="str">
        <f t="shared" si="52"/>
        <v/>
      </c>
      <c r="B194" s="50"/>
      <c r="C194" s="39"/>
      <c r="D194" s="40"/>
      <c r="E194" s="41"/>
      <c r="F194" s="42"/>
      <c r="G194" s="43"/>
      <c r="H194" s="2">
        <f t="shared" si="53"/>
        <v>0</v>
      </c>
      <c r="I194" s="42"/>
      <c r="J194" s="43"/>
      <c r="K194" s="2">
        <f t="shared" si="54"/>
        <v>0</v>
      </c>
      <c r="L194" s="42"/>
      <c r="M194" s="43"/>
      <c r="N194" s="2">
        <f t="shared" si="55"/>
        <v>0</v>
      </c>
      <c r="O194" s="42"/>
      <c r="P194" s="43"/>
      <c r="Q194" s="2">
        <f t="shared" si="56"/>
        <v>0</v>
      </c>
      <c r="R194" s="42"/>
      <c r="S194" s="43"/>
      <c r="T194" s="2">
        <f t="shared" si="57"/>
        <v>0</v>
      </c>
      <c r="U194" s="42"/>
      <c r="V194" s="43"/>
      <c r="W194" s="2">
        <f t="shared" si="58"/>
        <v>0</v>
      </c>
      <c r="X194" s="42"/>
      <c r="Y194" s="43"/>
      <c r="Z194" s="2">
        <f t="shared" si="59"/>
        <v>0</v>
      </c>
      <c r="AA194" s="42"/>
      <c r="AB194" s="43"/>
      <c r="AC194" s="2">
        <f t="shared" si="60"/>
        <v>0</v>
      </c>
      <c r="AD194" s="42"/>
      <c r="AE194" s="43"/>
      <c r="AF194" s="2">
        <f t="shared" si="61"/>
        <v>0</v>
      </c>
      <c r="AG194" s="42"/>
      <c r="AH194" s="43"/>
      <c r="AI194" s="2">
        <f t="shared" si="62"/>
        <v>0</v>
      </c>
      <c r="AJ194" s="97" t="str" cm="1">
        <f t="array" ref="AJ194">GETMENORVALOR(H194,K194,N194,Q194,T194,W194,Z194,AC194,AF194,AI194)</f>
        <v/>
      </c>
      <c r="AK194" s="98"/>
    </row>
    <row r="195" spans="1:37" hidden="1" x14ac:dyDescent="0.25">
      <c r="A195" s="10" t="str">
        <f t="shared" si="52"/>
        <v/>
      </c>
      <c r="B195" s="50"/>
      <c r="C195" s="39"/>
      <c r="D195" s="40"/>
      <c r="E195" s="41"/>
      <c r="F195" s="42"/>
      <c r="G195" s="43"/>
      <c r="H195" s="2">
        <f t="shared" si="53"/>
        <v>0</v>
      </c>
      <c r="I195" s="42"/>
      <c r="J195" s="43"/>
      <c r="K195" s="2">
        <f t="shared" si="54"/>
        <v>0</v>
      </c>
      <c r="L195" s="42"/>
      <c r="M195" s="43"/>
      <c r="N195" s="2">
        <f t="shared" si="55"/>
        <v>0</v>
      </c>
      <c r="O195" s="42"/>
      <c r="P195" s="43"/>
      <c r="Q195" s="2">
        <f t="shared" si="56"/>
        <v>0</v>
      </c>
      <c r="R195" s="42"/>
      <c r="S195" s="43"/>
      <c r="T195" s="2">
        <f t="shared" si="57"/>
        <v>0</v>
      </c>
      <c r="U195" s="42"/>
      <c r="V195" s="43"/>
      <c r="W195" s="2">
        <f t="shared" si="58"/>
        <v>0</v>
      </c>
      <c r="X195" s="42"/>
      <c r="Y195" s="43"/>
      <c r="Z195" s="2">
        <f t="shared" si="59"/>
        <v>0</v>
      </c>
      <c r="AA195" s="42"/>
      <c r="AB195" s="43"/>
      <c r="AC195" s="2">
        <f t="shared" si="60"/>
        <v>0</v>
      </c>
      <c r="AD195" s="42"/>
      <c r="AE195" s="43"/>
      <c r="AF195" s="2">
        <f t="shared" si="61"/>
        <v>0</v>
      </c>
      <c r="AG195" s="42"/>
      <c r="AH195" s="43"/>
      <c r="AI195" s="2">
        <f t="shared" si="62"/>
        <v>0</v>
      </c>
      <c r="AJ195" s="97" t="str" cm="1">
        <f t="array" ref="AJ195">GETMENORVALOR(H195,K195,N195,Q195,T195,W195,Z195,AC195,AF195,AI195)</f>
        <v/>
      </c>
      <c r="AK195" s="98"/>
    </row>
    <row r="196" spans="1:37" hidden="1" x14ac:dyDescent="0.25">
      <c r="A196" s="10" t="str">
        <f t="shared" si="52"/>
        <v/>
      </c>
      <c r="B196" s="50"/>
      <c r="C196" s="39"/>
      <c r="D196" s="40"/>
      <c r="E196" s="41"/>
      <c r="F196" s="42"/>
      <c r="G196" s="43"/>
      <c r="H196" s="2">
        <f t="shared" si="53"/>
        <v>0</v>
      </c>
      <c r="I196" s="42"/>
      <c r="J196" s="43"/>
      <c r="K196" s="2">
        <f t="shared" si="54"/>
        <v>0</v>
      </c>
      <c r="L196" s="42"/>
      <c r="M196" s="43"/>
      <c r="N196" s="2">
        <f t="shared" si="55"/>
        <v>0</v>
      </c>
      <c r="O196" s="42"/>
      <c r="P196" s="43"/>
      <c r="Q196" s="2">
        <f t="shared" si="56"/>
        <v>0</v>
      </c>
      <c r="R196" s="42"/>
      <c r="S196" s="43"/>
      <c r="T196" s="2">
        <f t="shared" si="57"/>
        <v>0</v>
      </c>
      <c r="U196" s="42"/>
      <c r="V196" s="43"/>
      <c r="W196" s="2">
        <f t="shared" si="58"/>
        <v>0</v>
      </c>
      <c r="X196" s="42"/>
      <c r="Y196" s="43"/>
      <c r="Z196" s="2">
        <f t="shared" si="59"/>
        <v>0</v>
      </c>
      <c r="AA196" s="42"/>
      <c r="AB196" s="43"/>
      <c r="AC196" s="2">
        <f t="shared" si="60"/>
        <v>0</v>
      </c>
      <c r="AD196" s="42"/>
      <c r="AE196" s="43"/>
      <c r="AF196" s="2">
        <f t="shared" si="61"/>
        <v>0</v>
      </c>
      <c r="AG196" s="42"/>
      <c r="AH196" s="43"/>
      <c r="AI196" s="2">
        <f t="shared" si="62"/>
        <v>0</v>
      </c>
      <c r="AJ196" s="97" t="str" cm="1">
        <f t="array" ref="AJ196">GETMENORVALOR(H196,K196,N196,Q196,T196,W196,Z196,AC196,AF196,AI196)</f>
        <v/>
      </c>
      <c r="AK196" s="98"/>
    </row>
    <row r="197" spans="1:37" hidden="1" x14ac:dyDescent="0.25">
      <c r="A197" s="10" t="str">
        <f t="shared" si="52"/>
        <v/>
      </c>
      <c r="B197" s="50"/>
      <c r="C197" s="39"/>
      <c r="D197" s="40"/>
      <c r="E197" s="41"/>
      <c r="F197" s="42"/>
      <c r="G197" s="43"/>
      <c r="H197" s="2">
        <f t="shared" si="53"/>
        <v>0</v>
      </c>
      <c r="I197" s="42"/>
      <c r="J197" s="43"/>
      <c r="K197" s="2">
        <f t="shared" si="54"/>
        <v>0</v>
      </c>
      <c r="L197" s="42"/>
      <c r="M197" s="43"/>
      <c r="N197" s="2">
        <f t="shared" si="55"/>
        <v>0</v>
      </c>
      <c r="O197" s="42"/>
      <c r="P197" s="43"/>
      <c r="Q197" s="2">
        <f t="shared" si="56"/>
        <v>0</v>
      </c>
      <c r="R197" s="42"/>
      <c r="S197" s="43"/>
      <c r="T197" s="2">
        <f t="shared" si="57"/>
        <v>0</v>
      </c>
      <c r="U197" s="42"/>
      <c r="V197" s="43"/>
      <c r="W197" s="2">
        <f t="shared" si="58"/>
        <v>0</v>
      </c>
      <c r="X197" s="42"/>
      <c r="Y197" s="43"/>
      <c r="Z197" s="2">
        <f t="shared" si="59"/>
        <v>0</v>
      </c>
      <c r="AA197" s="42"/>
      <c r="AB197" s="43"/>
      <c r="AC197" s="2">
        <f t="shared" si="60"/>
        <v>0</v>
      </c>
      <c r="AD197" s="42"/>
      <c r="AE197" s="43"/>
      <c r="AF197" s="2">
        <f t="shared" si="61"/>
        <v>0</v>
      </c>
      <c r="AG197" s="42"/>
      <c r="AH197" s="43"/>
      <c r="AI197" s="2">
        <f t="shared" si="62"/>
        <v>0</v>
      </c>
      <c r="AJ197" s="97" t="str" cm="1">
        <f t="array" ref="AJ197">GETMENORVALOR(H197,K197,N197,Q197,T197,W197,Z197,AC197,AF197,AI197)</f>
        <v/>
      </c>
      <c r="AK197" s="98"/>
    </row>
    <row r="198" spans="1:37" hidden="1" x14ac:dyDescent="0.25">
      <c r="A198" s="10" t="str">
        <f t="shared" si="52"/>
        <v/>
      </c>
      <c r="B198" s="50"/>
      <c r="C198" s="39"/>
      <c r="D198" s="40"/>
      <c r="E198" s="41"/>
      <c r="F198" s="42"/>
      <c r="G198" s="43"/>
      <c r="H198" s="2">
        <f t="shared" si="53"/>
        <v>0</v>
      </c>
      <c r="I198" s="42"/>
      <c r="J198" s="43"/>
      <c r="K198" s="2">
        <f t="shared" si="54"/>
        <v>0</v>
      </c>
      <c r="L198" s="42"/>
      <c r="M198" s="43"/>
      <c r="N198" s="2">
        <f t="shared" si="55"/>
        <v>0</v>
      </c>
      <c r="O198" s="42"/>
      <c r="P198" s="43"/>
      <c r="Q198" s="2">
        <f t="shared" si="56"/>
        <v>0</v>
      </c>
      <c r="R198" s="42"/>
      <c r="S198" s="43"/>
      <c r="T198" s="2">
        <f t="shared" si="57"/>
        <v>0</v>
      </c>
      <c r="U198" s="42"/>
      <c r="V198" s="43"/>
      <c r="W198" s="2">
        <f t="shared" si="58"/>
        <v>0</v>
      </c>
      <c r="X198" s="42"/>
      <c r="Y198" s="43"/>
      <c r="Z198" s="2">
        <f t="shared" si="59"/>
        <v>0</v>
      </c>
      <c r="AA198" s="42"/>
      <c r="AB198" s="43"/>
      <c r="AC198" s="2">
        <f t="shared" si="60"/>
        <v>0</v>
      </c>
      <c r="AD198" s="42"/>
      <c r="AE198" s="43"/>
      <c r="AF198" s="2">
        <f t="shared" si="61"/>
        <v>0</v>
      </c>
      <c r="AG198" s="42"/>
      <c r="AH198" s="43"/>
      <c r="AI198" s="2">
        <f t="shared" si="62"/>
        <v>0</v>
      </c>
      <c r="AJ198" s="97" t="str" cm="1">
        <f t="array" ref="AJ198">GETMENORVALOR(H198,K198,N198,Q198,T198,W198,Z198,AC198,AF198,AI198)</f>
        <v/>
      </c>
      <c r="AK198" s="98"/>
    </row>
    <row r="199" spans="1:37" hidden="1" x14ac:dyDescent="0.25">
      <c r="A199" s="10" t="str">
        <f t="shared" si="52"/>
        <v/>
      </c>
      <c r="B199" s="50"/>
      <c r="C199" s="39"/>
      <c r="D199" s="40"/>
      <c r="E199" s="41"/>
      <c r="F199" s="42"/>
      <c r="G199" s="43"/>
      <c r="H199" s="2">
        <f t="shared" si="53"/>
        <v>0</v>
      </c>
      <c r="I199" s="42"/>
      <c r="J199" s="43"/>
      <c r="K199" s="2">
        <f t="shared" si="54"/>
        <v>0</v>
      </c>
      <c r="L199" s="42"/>
      <c r="M199" s="43"/>
      <c r="N199" s="2">
        <f t="shared" si="55"/>
        <v>0</v>
      </c>
      <c r="O199" s="42"/>
      <c r="P199" s="43"/>
      <c r="Q199" s="2">
        <f t="shared" si="56"/>
        <v>0</v>
      </c>
      <c r="R199" s="42"/>
      <c r="S199" s="43"/>
      <c r="T199" s="2">
        <f t="shared" si="57"/>
        <v>0</v>
      </c>
      <c r="U199" s="42"/>
      <c r="V199" s="43"/>
      <c r="W199" s="2">
        <f t="shared" si="58"/>
        <v>0</v>
      </c>
      <c r="X199" s="42"/>
      <c r="Y199" s="43"/>
      <c r="Z199" s="2">
        <f t="shared" si="59"/>
        <v>0</v>
      </c>
      <c r="AA199" s="42"/>
      <c r="AB199" s="43"/>
      <c r="AC199" s="2">
        <f t="shared" si="60"/>
        <v>0</v>
      </c>
      <c r="AD199" s="42"/>
      <c r="AE199" s="43"/>
      <c r="AF199" s="2">
        <f t="shared" si="61"/>
        <v>0</v>
      </c>
      <c r="AG199" s="42"/>
      <c r="AH199" s="43"/>
      <c r="AI199" s="2">
        <f t="shared" si="62"/>
        <v>0</v>
      </c>
      <c r="AJ199" s="97" t="str" cm="1">
        <f t="array" ref="AJ199">GETMENORVALOR(H199,K199,N199,Q199,T199,W199,Z199,AC199,AF199,AI199)</f>
        <v/>
      </c>
      <c r="AK199" s="98"/>
    </row>
    <row r="200" spans="1:37" hidden="1" x14ac:dyDescent="0.25">
      <c r="A200" s="10" t="str">
        <f t="shared" si="52"/>
        <v/>
      </c>
      <c r="B200" s="50"/>
      <c r="C200" s="39"/>
      <c r="D200" s="40"/>
      <c r="E200" s="41"/>
      <c r="F200" s="42"/>
      <c r="G200" s="43"/>
      <c r="H200" s="2">
        <f t="shared" si="53"/>
        <v>0</v>
      </c>
      <c r="I200" s="42"/>
      <c r="J200" s="43"/>
      <c r="K200" s="2">
        <f t="shared" si="54"/>
        <v>0</v>
      </c>
      <c r="L200" s="42"/>
      <c r="M200" s="43"/>
      <c r="N200" s="2">
        <f t="shared" si="55"/>
        <v>0</v>
      </c>
      <c r="O200" s="42"/>
      <c r="P200" s="43"/>
      <c r="Q200" s="2">
        <f t="shared" si="56"/>
        <v>0</v>
      </c>
      <c r="R200" s="42"/>
      <c r="S200" s="43"/>
      <c r="T200" s="2">
        <f t="shared" si="57"/>
        <v>0</v>
      </c>
      <c r="U200" s="42"/>
      <c r="V200" s="43"/>
      <c r="W200" s="2">
        <f t="shared" si="58"/>
        <v>0</v>
      </c>
      <c r="X200" s="42"/>
      <c r="Y200" s="43"/>
      <c r="Z200" s="2">
        <f t="shared" si="59"/>
        <v>0</v>
      </c>
      <c r="AA200" s="42"/>
      <c r="AB200" s="43"/>
      <c r="AC200" s="2">
        <f t="shared" si="60"/>
        <v>0</v>
      </c>
      <c r="AD200" s="42"/>
      <c r="AE200" s="43"/>
      <c r="AF200" s="2">
        <f t="shared" si="61"/>
        <v>0</v>
      </c>
      <c r="AG200" s="42"/>
      <c r="AH200" s="43"/>
      <c r="AI200" s="2">
        <f t="shared" si="62"/>
        <v>0</v>
      </c>
      <c r="AJ200" s="97" t="str" cm="1">
        <f t="array" ref="AJ200">GETMENORVALOR(H200,K200,N200,Q200,T200,W200,Z200,AC200,AF200,AI200)</f>
        <v/>
      </c>
      <c r="AK200" s="98"/>
    </row>
    <row r="201" spans="1:37" hidden="1" x14ac:dyDescent="0.25">
      <c r="A201" s="10" t="str">
        <f t="shared" si="52"/>
        <v/>
      </c>
      <c r="B201" s="50"/>
      <c r="C201" s="39"/>
      <c r="D201" s="40"/>
      <c r="E201" s="41"/>
      <c r="F201" s="42"/>
      <c r="G201" s="43"/>
      <c r="H201" s="2">
        <f t="shared" si="53"/>
        <v>0</v>
      </c>
      <c r="I201" s="42"/>
      <c r="J201" s="43"/>
      <c r="K201" s="2">
        <f t="shared" si="54"/>
        <v>0</v>
      </c>
      <c r="L201" s="42"/>
      <c r="M201" s="43"/>
      <c r="N201" s="2">
        <f t="shared" si="55"/>
        <v>0</v>
      </c>
      <c r="O201" s="42"/>
      <c r="P201" s="43"/>
      <c r="Q201" s="2">
        <f t="shared" si="56"/>
        <v>0</v>
      </c>
      <c r="R201" s="42"/>
      <c r="S201" s="43"/>
      <c r="T201" s="2">
        <f t="shared" si="57"/>
        <v>0</v>
      </c>
      <c r="U201" s="42"/>
      <c r="V201" s="43"/>
      <c r="W201" s="2">
        <f t="shared" si="58"/>
        <v>0</v>
      </c>
      <c r="X201" s="42"/>
      <c r="Y201" s="43"/>
      <c r="Z201" s="2">
        <f t="shared" si="59"/>
        <v>0</v>
      </c>
      <c r="AA201" s="42"/>
      <c r="AB201" s="43"/>
      <c r="AC201" s="2">
        <f t="shared" si="60"/>
        <v>0</v>
      </c>
      <c r="AD201" s="42"/>
      <c r="AE201" s="43"/>
      <c r="AF201" s="2">
        <f t="shared" si="61"/>
        <v>0</v>
      </c>
      <c r="AG201" s="42"/>
      <c r="AH201" s="43"/>
      <c r="AI201" s="2">
        <f t="shared" si="62"/>
        <v>0</v>
      </c>
      <c r="AJ201" s="97" t="str" cm="1">
        <f t="array" ref="AJ201">GETMENORVALOR(H201,K201,N201,Q201,T201,W201,Z201,AC201,AF201,AI201)</f>
        <v/>
      </c>
      <c r="AK201" s="98"/>
    </row>
    <row r="202" spans="1:37" hidden="1" x14ac:dyDescent="0.25">
      <c r="A202" s="10" t="str">
        <f t="shared" si="52"/>
        <v/>
      </c>
      <c r="B202" s="50"/>
      <c r="C202" s="39"/>
      <c r="D202" s="40"/>
      <c r="E202" s="41"/>
      <c r="F202" s="42"/>
      <c r="G202" s="43"/>
      <c r="H202" s="2">
        <f t="shared" si="53"/>
        <v>0</v>
      </c>
      <c r="I202" s="42"/>
      <c r="J202" s="43"/>
      <c r="K202" s="2">
        <f t="shared" si="54"/>
        <v>0</v>
      </c>
      <c r="L202" s="42"/>
      <c r="M202" s="43"/>
      <c r="N202" s="2">
        <f t="shared" si="55"/>
        <v>0</v>
      </c>
      <c r="O202" s="42"/>
      <c r="P202" s="43"/>
      <c r="Q202" s="2">
        <f t="shared" si="56"/>
        <v>0</v>
      </c>
      <c r="R202" s="42"/>
      <c r="S202" s="43"/>
      <c r="T202" s="2">
        <f t="shared" si="57"/>
        <v>0</v>
      </c>
      <c r="U202" s="42"/>
      <c r="V202" s="43"/>
      <c r="W202" s="2">
        <f t="shared" si="58"/>
        <v>0</v>
      </c>
      <c r="X202" s="42"/>
      <c r="Y202" s="43"/>
      <c r="Z202" s="2">
        <f t="shared" si="59"/>
        <v>0</v>
      </c>
      <c r="AA202" s="42"/>
      <c r="AB202" s="43"/>
      <c r="AC202" s="2">
        <f t="shared" si="60"/>
        <v>0</v>
      </c>
      <c r="AD202" s="42"/>
      <c r="AE202" s="43"/>
      <c r="AF202" s="2">
        <f t="shared" si="61"/>
        <v>0</v>
      </c>
      <c r="AG202" s="42"/>
      <c r="AH202" s="43"/>
      <c r="AI202" s="2">
        <f t="shared" si="62"/>
        <v>0</v>
      </c>
      <c r="AJ202" s="97" t="str" cm="1">
        <f t="array" ref="AJ202">GETMENORVALOR(H202,K202,N202,Q202,T202,W202,Z202,AC202,AF202,AI202)</f>
        <v/>
      </c>
      <c r="AK202" s="98"/>
    </row>
    <row r="203" spans="1:37" hidden="1" x14ac:dyDescent="0.25">
      <c r="A203" s="10" t="str">
        <f t="shared" si="52"/>
        <v/>
      </c>
      <c r="B203" s="50"/>
      <c r="C203" s="39"/>
      <c r="D203" s="40"/>
      <c r="E203" s="41"/>
      <c r="F203" s="42"/>
      <c r="G203" s="43"/>
      <c r="H203" s="2">
        <f t="shared" si="53"/>
        <v>0</v>
      </c>
      <c r="I203" s="42"/>
      <c r="J203" s="43"/>
      <c r="K203" s="2">
        <f t="shared" si="54"/>
        <v>0</v>
      </c>
      <c r="L203" s="42"/>
      <c r="M203" s="43"/>
      <c r="N203" s="2">
        <f t="shared" si="55"/>
        <v>0</v>
      </c>
      <c r="O203" s="42"/>
      <c r="P203" s="43"/>
      <c r="Q203" s="2">
        <f t="shared" si="56"/>
        <v>0</v>
      </c>
      <c r="R203" s="42"/>
      <c r="S203" s="43"/>
      <c r="T203" s="2">
        <f t="shared" si="57"/>
        <v>0</v>
      </c>
      <c r="U203" s="42"/>
      <c r="V203" s="43"/>
      <c r="W203" s="2">
        <f t="shared" si="58"/>
        <v>0</v>
      </c>
      <c r="X203" s="42"/>
      <c r="Y203" s="43"/>
      <c r="Z203" s="2">
        <f t="shared" si="59"/>
        <v>0</v>
      </c>
      <c r="AA203" s="42"/>
      <c r="AB203" s="43"/>
      <c r="AC203" s="2">
        <f t="shared" si="60"/>
        <v>0</v>
      </c>
      <c r="AD203" s="42"/>
      <c r="AE203" s="43"/>
      <c r="AF203" s="2">
        <f t="shared" si="61"/>
        <v>0</v>
      </c>
      <c r="AG203" s="42"/>
      <c r="AH203" s="43"/>
      <c r="AI203" s="2">
        <f t="shared" si="62"/>
        <v>0</v>
      </c>
      <c r="AJ203" s="97" t="str" cm="1">
        <f t="array" ref="AJ203">GETMENORVALOR(H203,K203,N203,Q203,T203,W203,Z203,AC203,AF203,AI203)</f>
        <v/>
      </c>
      <c r="AK203" s="98"/>
    </row>
    <row r="204" spans="1:37" hidden="1" x14ac:dyDescent="0.25">
      <c r="A204" s="10" t="str">
        <f t="shared" si="52"/>
        <v/>
      </c>
      <c r="B204" s="50"/>
      <c r="C204" s="39"/>
      <c r="D204" s="40"/>
      <c r="E204" s="41"/>
      <c r="F204" s="42"/>
      <c r="G204" s="43"/>
      <c r="H204" s="2">
        <f t="shared" si="53"/>
        <v>0</v>
      </c>
      <c r="I204" s="42"/>
      <c r="J204" s="43"/>
      <c r="K204" s="2">
        <f t="shared" si="54"/>
        <v>0</v>
      </c>
      <c r="L204" s="42"/>
      <c r="M204" s="43"/>
      <c r="N204" s="2">
        <f t="shared" si="55"/>
        <v>0</v>
      </c>
      <c r="O204" s="42"/>
      <c r="P204" s="43"/>
      <c r="Q204" s="2">
        <f t="shared" si="56"/>
        <v>0</v>
      </c>
      <c r="R204" s="42"/>
      <c r="S204" s="43"/>
      <c r="T204" s="2">
        <f t="shared" si="57"/>
        <v>0</v>
      </c>
      <c r="U204" s="42"/>
      <c r="V204" s="43"/>
      <c r="W204" s="2">
        <f t="shared" si="58"/>
        <v>0</v>
      </c>
      <c r="X204" s="42"/>
      <c r="Y204" s="43"/>
      <c r="Z204" s="2">
        <f t="shared" si="59"/>
        <v>0</v>
      </c>
      <c r="AA204" s="42"/>
      <c r="AB204" s="43"/>
      <c r="AC204" s="2">
        <f t="shared" si="60"/>
        <v>0</v>
      </c>
      <c r="AD204" s="42"/>
      <c r="AE204" s="43"/>
      <c r="AF204" s="2">
        <f t="shared" si="61"/>
        <v>0</v>
      </c>
      <c r="AG204" s="42"/>
      <c r="AH204" s="43"/>
      <c r="AI204" s="2">
        <f t="shared" si="62"/>
        <v>0</v>
      </c>
      <c r="AJ204" s="97" t="str" cm="1">
        <f t="array" ref="AJ204">GETMENORVALOR(H204,K204,N204,Q204,T204,W204,Z204,AC204,AF204,AI204)</f>
        <v/>
      </c>
      <c r="AK204" s="98"/>
    </row>
    <row r="205" spans="1:37" hidden="1" x14ac:dyDescent="0.25">
      <c r="A205" s="10" t="str">
        <f t="shared" si="52"/>
        <v/>
      </c>
      <c r="B205" s="50"/>
      <c r="C205" s="39"/>
      <c r="D205" s="40"/>
      <c r="E205" s="41"/>
      <c r="F205" s="42"/>
      <c r="G205" s="43"/>
      <c r="H205" s="2">
        <f t="shared" si="53"/>
        <v>0</v>
      </c>
      <c r="I205" s="42"/>
      <c r="J205" s="43"/>
      <c r="K205" s="2">
        <f t="shared" si="54"/>
        <v>0</v>
      </c>
      <c r="L205" s="42"/>
      <c r="M205" s="43"/>
      <c r="N205" s="2">
        <f t="shared" si="55"/>
        <v>0</v>
      </c>
      <c r="O205" s="42"/>
      <c r="P205" s="43"/>
      <c r="Q205" s="2">
        <f t="shared" si="56"/>
        <v>0</v>
      </c>
      <c r="R205" s="42"/>
      <c r="S205" s="43"/>
      <c r="T205" s="2">
        <f t="shared" si="57"/>
        <v>0</v>
      </c>
      <c r="U205" s="42"/>
      <c r="V205" s="43"/>
      <c r="W205" s="2">
        <f t="shared" si="58"/>
        <v>0</v>
      </c>
      <c r="X205" s="42"/>
      <c r="Y205" s="43"/>
      <c r="Z205" s="2">
        <f t="shared" si="59"/>
        <v>0</v>
      </c>
      <c r="AA205" s="42"/>
      <c r="AB205" s="43"/>
      <c r="AC205" s="2">
        <f t="shared" si="60"/>
        <v>0</v>
      </c>
      <c r="AD205" s="42"/>
      <c r="AE205" s="43"/>
      <c r="AF205" s="2">
        <f t="shared" si="61"/>
        <v>0</v>
      </c>
      <c r="AG205" s="42"/>
      <c r="AH205" s="43"/>
      <c r="AI205" s="2">
        <f t="shared" si="62"/>
        <v>0</v>
      </c>
      <c r="AJ205" s="97" t="str" cm="1">
        <f t="array" ref="AJ205">GETMENORVALOR(H205,K205,N205,Q205,T205,W205,Z205,AC205,AF205,AI205)</f>
        <v/>
      </c>
      <c r="AK205" s="98"/>
    </row>
    <row r="206" spans="1:37" hidden="1" x14ac:dyDescent="0.25">
      <c r="A206" s="10" t="str">
        <f t="shared" si="52"/>
        <v/>
      </c>
      <c r="B206" s="50"/>
      <c r="C206" s="39"/>
      <c r="D206" s="40"/>
      <c r="E206" s="41"/>
      <c r="F206" s="42"/>
      <c r="G206" s="43"/>
      <c r="H206" s="2">
        <f t="shared" si="53"/>
        <v>0</v>
      </c>
      <c r="I206" s="42"/>
      <c r="J206" s="43"/>
      <c r="K206" s="2">
        <f t="shared" si="54"/>
        <v>0</v>
      </c>
      <c r="L206" s="42"/>
      <c r="M206" s="43"/>
      <c r="N206" s="2">
        <f t="shared" si="55"/>
        <v>0</v>
      </c>
      <c r="O206" s="42"/>
      <c r="P206" s="43"/>
      <c r="Q206" s="2">
        <f t="shared" si="56"/>
        <v>0</v>
      </c>
      <c r="R206" s="42"/>
      <c r="S206" s="43"/>
      <c r="T206" s="2">
        <f t="shared" si="57"/>
        <v>0</v>
      </c>
      <c r="U206" s="42"/>
      <c r="V206" s="43"/>
      <c r="W206" s="2">
        <f t="shared" si="58"/>
        <v>0</v>
      </c>
      <c r="X206" s="42"/>
      <c r="Y206" s="43"/>
      <c r="Z206" s="2">
        <f t="shared" si="59"/>
        <v>0</v>
      </c>
      <c r="AA206" s="42"/>
      <c r="AB206" s="43"/>
      <c r="AC206" s="2">
        <f t="shared" si="60"/>
        <v>0</v>
      </c>
      <c r="AD206" s="42"/>
      <c r="AE206" s="43"/>
      <c r="AF206" s="2">
        <f t="shared" si="61"/>
        <v>0</v>
      </c>
      <c r="AG206" s="42"/>
      <c r="AH206" s="43"/>
      <c r="AI206" s="2">
        <f t="shared" si="62"/>
        <v>0</v>
      </c>
      <c r="AJ206" s="97" t="str" cm="1">
        <f t="array" ref="AJ206">GETMENORVALOR(H206,K206,N206,Q206,T206,W206,Z206,AC206,AF206,AI206)</f>
        <v/>
      </c>
      <c r="AK206" s="98"/>
    </row>
    <row r="207" spans="1:37" hidden="1" x14ac:dyDescent="0.25">
      <c r="A207" s="10" t="str">
        <f t="shared" si="52"/>
        <v/>
      </c>
      <c r="B207" s="50"/>
      <c r="C207" s="39"/>
      <c r="D207" s="40"/>
      <c r="E207" s="41"/>
      <c r="F207" s="42"/>
      <c r="G207" s="43"/>
      <c r="H207" s="2">
        <f t="shared" si="53"/>
        <v>0</v>
      </c>
      <c r="I207" s="42"/>
      <c r="J207" s="43"/>
      <c r="K207" s="2">
        <f t="shared" si="54"/>
        <v>0</v>
      </c>
      <c r="L207" s="42"/>
      <c r="M207" s="43"/>
      <c r="N207" s="2">
        <f t="shared" si="55"/>
        <v>0</v>
      </c>
      <c r="O207" s="42"/>
      <c r="P207" s="43"/>
      <c r="Q207" s="2">
        <f t="shared" si="56"/>
        <v>0</v>
      </c>
      <c r="R207" s="42"/>
      <c r="S207" s="43"/>
      <c r="T207" s="2">
        <f t="shared" si="57"/>
        <v>0</v>
      </c>
      <c r="U207" s="42"/>
      <c r="V207" s="43"/>
      <c r="W207" s="2">
        <f t="shared" si="58"/>
        <v>0</v>
      </c>
      <c r="X207" s="42"/>
      <c r="Y207" s="43"/>
      <c r="Z207" s="2">
        <f t="shared" si="59"/>
        <v>0</v>
      </c>
      <c r="AA207" s="42"/>
      <c r="AB207" s="43"/>
      <c r="AC207" s="2">
        <f t="shared" si="60"/>
        <v>0</v>
      </c>
      <c r="AD207" s="42"/>
      <c r="AE207" s="43"/>
      <c r="AF207" s="2">
        <f t="shared" si="61"/>
        <v>0</v>
      </c>
      <c r="AG207" s="42"/>
      <c r="AH207" s="43"/>
      <c r="AI207" s="2">
        <f t="shared" si="62"/>
        <v>0</v>
      </c>
      <c r="AJ207" s="97" t="str" cm="1">
        <f t="array" ref="AJ207">GETMENORVALOR(H207,K207,N207,Q207,T207,W207,Z207,AC207,AF207,AI207)</f>
        <v/>
      </c>
      <c r="AK207" s="98"/>
    </row>
    <row r="208" spans="1:37" hidden="1" x14ac:dyDescent="0.25">
      <c r="A208" s="10" t="str">
        <f t="shared" si="52"/>
        <v/>
      </c>
      <c r="B208" s="50"/>
      <c r="C208" s="39"/>
      <c r="D208" s="40"/>
      <c r="E208" s="41"/>
      <c r="F208" s="42"/>
      <c r="G208" s="43"/>
      <c r="H208" s="2">
        <f t="shared" si="53"/>
        <v>0</v>
      </c>
      <c r="I208" s="42"/>
      <c r="J208" s="43"/>
      <c r="K208" s="2">
        <f t="shared" si="54"/>
        <v>0</v>
      </c>
      <c r="L208" s="42"/>
      <c r="M208" s="43"/>
      <c r="N208" s="2">
        <f t="shared" si="55"/>
        <v>0</v>
      </c>
      <c r="O208" s="42"/>
      <c r="P208" s="43"/>
      <c r="Q208" s="2">
        <f t="shared" si="56"/>
        <v>0</v>
      </c>
      <c r="R208" s="42"/>
      <c r="S208" s="43"/>
      <c r="T208" s="2">
        <f t="shared" si="57"/>
        <v>0</v>
      </c>
      <c r="U208" s="42"/>
      <c r="V208" s="43"/>
      <c r="W208" s="2">
        <f t="shared" si="58"/>
        <v>0</v>
      </c>
      <c r="X208" s="42"/>
      <c r="Y208" s="43"/>
      <c r="Z208" s="2">
        <f t="shared" si="59"/>
        <v>0</v>
      </c>
      <c r="AA208" s="42"/>
      <c r="AB208" s="43"/>
      <c r="AC208" s="2">
        <f t="shared" si="60"/>
        <v>0</v>
      </c>
      <c r="AD208" s="42"/>
      <c r="AE208" s="43"/>
      <c r="AF208" s="2">
        <f t="shared" si="61"/>
        <v>0</v>
      </c>
      <c r="AG208" s="42"/>
      <c r="AH208" s="43"/>
      <c r="AI208" s="2">
        <f t="shared" si="62"/>
        <v>0</v>
      </c>
      <c r="AJ208" s="97" t="str" cm="1">
        <f t="array" ref="AJ208">GETMENORVALOR(H208,K208,N208,Q208,T208,W208,Z208,AC208,AF208,AI208)</f>
        <v/>
      </c>
      <c r="AK208" s="98"/>
    </row>
    <row r="209" spans="1:37" hidden="1" x14ac:dyDescent="0.25">
      <c r="A209" s="10" t="str">
        <f t="shared" si="52"/>
        <v/>
      </c>
      <c r="B209" s="50"/>
      <c r="C209" s="39"/>
      <c r="D209" s="40"/>
      <c r="E209" s="41"/>
      <c r="F209" s="42"/>
      <c r="G209" s="43"/>
      <c r="H209" s="2">
        <f t="shared" si="53"/>
        <v>0</v>
      </c>
      <c r="I209" s="42"/>
      <c r="J209" s="43"/>
      <c r="K209" s="2">
        <f t="shared" si="54"/>
        <v>0</v>
      </c>
      <c r="L209" s="42"/>
      <c r="M209" s="43"/>
      <c r="N209" s="2">
        <f t="shared" si="55"/>
        <v>0</v>
      </c>
      <c r="O209" s="42"/>
      <c r="P209" s="43"/>
      <c r="Q209" s="2">
        <f t="shared" si="56"/>
        <v>0</v>
      </c>
      <c r="R209" s="42"/>
      <c r="S209" s="43"/>
      <c r="T209" s="2">
        <f t="shared" si="57"/>
        <v>0</v>
      </c>
      <c r="U209" s="42"/>
      <c r="V209" s="43"/>
      <c r="W209" s="2">
        <f t="shared" si="58"/>
        <v>0</v>
      </c>
      <c r="X209" s="42"/>
      <c r="Y209" s="43"/>
      <c r="Z209" s="2">
        <f t="shared" si="59"/>
        <v>0</v>
      </c>
      <c r="AA209" s="42"/>
      <c r="AB209" s="43"/>
      <c r="AC209" s="2">
        <f t="shared" si="60"/>
        <v>0</v>
      </c>
      <c r="AD209" s="42"/>
      <c r="AE209" s="43"/>
      <c r="AF209" s="2">
        <f t="shared" si="61"/>
        <v>0</v>
      </c>
      <c r="AG209" s="42"/>
      <c r="AH209" s="43"/>
      <c r="AI209" s="2">
        <f t="shared" si="62"/>
        <v>0</v>
      </c>
      <c r="AJ209" s="97" t="str" cm="1">
        <f t="array" ref="AJ209">GETMENORVALOR(H209,K209,N209,Q209,T209,W209,Z209,AC209,AF209,AI209)</f>
        <v/>
      </c>
      <c r="AK209" s="98"/>
    </row>
    <row r="210" spans="1:37" hidden="1" x14ac:dyDescent="0.25">
      <c r="A210" s="10" t="str">
        <f t="shared" si="52"/>
        <v/>
      </c>
      <c r="B210" s="50"/>
      <c r="C210" s="39"/>
      <c r="D210" s="40"/>
      <c r="E210" s="41"/>
      <c r="F210" s="42"/>
      <c r="G210" s="43"/>
      <c r="H210" s="2">
        <f t="shared" ref="H210:H217" si="63">IF($A210&lt;&gt;"", F210 * $D210 * (1 - G210), 0)</f>
        <v>0</v>
      </c>
      <c r="I210" s="42"/>
      <c r="J210" s="43"/>
      <c r="K210" s="2">
        <f t="shared" ref="K210:K217" si="64">IF($A210&lt;&gt;"", I210 * $D210 * (1 - J210), 0)</f>
        <v>0</v>
      </c>
      <c r="L210" s="42"/>
      <c r="M210" s="43"/>
      <c r="N210" s="2">
        <f t="shared" ref="N210:N217" si="65">IF($A210&lt;&gt;"", L210 * $D210 * (1 - M210), 0)</f>
        <v>0</v>
      </c>
      <c r="O210" s="42"/>
      <c r="P210" s="43"/>
      <c r="Q210" s="2">
        <f t="shared" ref="Q210:Q217" si="66">IF($A210&lt;&gt;"", O210 * $D210 * (1 - P210), 0)</f>
        <v>0</v>
      </c>
      <c r="R210" s="42"/>
      <c r="S210" s="43"/>
      <c r="T210" s="2">
        <f t="shared" ref="T210:T217" si="67">IF($A210&lt;&gt;"", R210 * $D210 * (1 - S210), 0)</f>
        <v>0</v>
      </c>
      <c r="U210" s="42"/>
      <c r="V210" s="43"/>
      <c r="W210" s="2">
        <f t="shared" ref="W210:W217" si="68">IF($A210&lt;&gt;"", U210 * $D210 * (1 - V210), 0)</f>
        <v>0</v>
      </c>
      <c r="X210" s="42"/>
      <c r="Y210" s="43"/>
      <c r="Z210" s="2">
        <f t="shared" ref="Z210:Z217" si="69">IF($A210&lt;&gt;"", X210 * $D210 * (1 - Y210), 0)</f>
        <v>0</v>
      </c>
      <c r="AA210" s="42"/>
      <c r="AB210" s="43"/>
      <c r="AC210" s="2">
        <f t="shared" ref="AC210:AC217" si="70">IF($A210&lt;&gt;"", AA210 * $D210 * (1 - AB210), 0)</f>
        <v>0</v>
      </c>
      <c r="AD210" s="42"/>
      <c r="AE210" s="43"/>
      <c r="AF210" s="2">
        <f t="shared" ref="AF210:AF217" si="71">IF($A210&lt;&gt;"", AD210 * $D210 * (1 - AE210), 0)</f>
        <v>0</v>
      </c>
      <c r="AG210" s="42"/>
      <c r="AH210" s="43"/>
      <c r="AI210" s="2">
        <f t="shared" ref="AI210:AI217" si="72">IF($A210&lt;&gt;"", AG210 * $D210 * (1 - AH210), 0)</f>
        <v>0</v>
      </c>
      <c r="AJ210" s="97" t="str" cm="1">
        <f t="array" ref="AJ210">GETMENORVALOR(H210,K210,N210,Q210,T210,W210,Z210,AC210,AF210,AI210)</f>
        <v/>
      </c>
      <c r="AK210" s="98"/>
    </row>
    <row r="211" spans="1:37" hidden="1" x14ac:dyDescent="0.25">
      <c r="A211" s="10" t="str">
        <f t="shared" ref="A211:A217" si="73">IF(AND(ISBLANK(B211), ISBLANK(C211)), "", B211 &amp; ROW(A194))</f>
        <v/>
      </c>
      <c r="B211" s="50"/>
      <c r="C211" s="39"/>
      <c r="D211" s="40"/>
      <c r="E211" s="41"/>
      <c r="F211" s="42"/>
      <c r="G211" s="43"/>
      <c r="H211" s="2">
        <f t="shared" si="63"/>
        <v>0</v>
      </c>
      <c r="I211" s="42"/>
      <c r="J211" s="43"/>
      <c r="K211" s="2">
        <f t="shared" si="64"/>
        <v>0</v>
      </c>
      <c r="L211" s="42"/>
      <c r="M211" s="43"/>
      <c r="N211" s="2">
        <f t="shared" si="65"/>
        <v>0</v>
      </c>
      <c r="O211" s="42"/>
      <c r="P211" s="43"/>
      <c r="Q211" s="2">
        <f t="shared" si="66"/>
        <v>0</v>
      </c>
      <c r="R211" s="42"/>
      <c r="S211" s="43"/>
      <c r="T211" s="2">
        <f t="shared" si="67"/>
        <v>0</v>
      </c>
      <c r="U211" s="42"/>
      <c r="V211" s="43"/>
      <c r="W211" s="2">
        <f t="shared" si="68"/>
        <v>0</v>
      </c>
      <c r="X211" s="42"/>
      <c r="Y211" s="43"/>
      <c r="Z211" s="2">
        <f t="shared" si="69"/>
        <v>0</v>
      </c>
      <c r="AA211" s="42"/>
      <c r="AB211" s="43"/>
      <c r="AC211" s="2">
        <f t="shared" si="70"/>
        <v>0</v>
      </c>
      <c r="AD211" s="42"/>
      <c r="AE211" s="43"/>
      <c r="AF211" s="2">
        <f t="shared" si="71"/>
        <v>0</v>
      </c>
      <c r="AG211" s="42"/>
      <c r="AH211" s="43"/>
      <c r="AI211" s="2">
        <f t="shared" si="72"/>
        <v>0</v>
      </c>
      <c r="AJ211" s="97" t="str" cm="1">
        <f t="array" ref="AJ211">GETMENORVALOR(H211,K211,N211,Q211,T211,W211,Z211,AC211,AF211,AI211)</f>
        <v/>
      </c>
      <c r="AK211" s="98"/>
    </row>
    <row r="212" spans="1:37" hidden="1" x14ac:dyDescent="0.25">
      <c r="A212" s="10" t="str">
        <f t="shared" si="73"/>
        <v/>
      </c>
      <c r="B212" s="50"/>
      <c r="C212" s="39"/>
      <c r="D212" s="40"/>
      <c r="E212" s="41"/>
      <c r="F212" s="42"/>
      <c r="G212" s="43"/>
      <c r="H212" s="2">
        <f t="shared" si="63"/>
        <v>0</v>
      </c>
      <c r="I212" s="42"/>
      <c r="J212" s="43"/>
      <c r="K212" s="2">
        <f t="shared" si="64"/>
        <v>0</v>
      </c>
      <c r="L212" s="42"/>
      <c r="M212" s="43"/>
      <c r="N212" s="2">
        <f t="shared" si="65"/>
        <v>0</v>
      </c>
      <c r="O212" s="42"/>
      <c r="P212" s="43"/>
      <c r="Q212" s="2">
        <f t="shared" si="66"/>
        <v>0</v>
      </c>
      <c r="R212" s="42"/>
      <c r="S212" s="43"/>
      <c r="T212" s="2">
        <f t="shared" si="67"/>
        <v>0</v>
      </c>
      <c r="U212" s="42"/>
      <c r="V212" s="43"/>
      <c r="W212" s="2">
        <f t="shared" si="68"/>
        <v>0</v>
      </c>
      <c r="X212" s="42"/>
      <c r="Y212" s="43"/>
      <c r="Z212" s="2">
        <f t="shared" si="69"/>
        <v>0</v>
      </c>
      <c r="AA212" s="42"/>
      <c r="AB212" s="43"/>
      <c r="AC212" s="2">
        <f t="shared" si="70"/>
        <v>0</v>
      </c>
      <c r="AD212" s="42"/>
      <c r="AE212" s="43"/>
      <c r="AF212" s="2">
        <f t="shared" si="71"/>
        <v>0</v>
      </c>
      <c r="AG212" s="42"/>
      <c r="AH212" s="43"/>
      <c r="AI212" s="2">
        <f t="shared" si="72"/>
        <v>0</v>
      </c>
      <c r="AJ212" s="97" t="str" cm="1">
        <f t="array" ref="AJ212">GETMENORVALOR(H212,K212,N212,Q212,T212,W212,Z212,AC212,AF212,AI212)</f>
        <v/>
      </c>
      <c r="AK212" s="98"/>
    </row>
    <row r="213" spans="1:37" hidden="1" x14ac:dyDescent="0.25">
      <c r="A213" s="10" t="str">
        <f t="shared" si="73"/>
        <v/>
      </c>
      <c r="B213" s="50"/>
      <c r="C213" s="39"/>
      <c r="D213" s="40"/>
      <c r="E213" s="41"/>
      <c r="F213" s="42"/>
      <c r="G213" s="43"/>
      <c r="H213" s="2">
        <f t="shared" si="63"/>
        <v>0</v>
      </c>
      <c r="I213" s="42"/>
      <c r="J213" s="43"/>
      <c r="K213" s="2">
        <f t="shared" si="64"/>
        <v>0</v>
      </c>
      <c r="L213" s="42"/>
      <c r="M213" s="43"/>
      <c r="N213" s="2">
        <f t="shared" si="65"/>
        <v>0</v>
      </c>
      <c r="O213" s="42"/>
      <c r="P213" s="43"/>
      <c r="Q213" s="2">
        <f t="shared" si="66"/>
        <v>0</v>
      </c>
      <c r="R213" s="42"/>
      <c r="S213" s="43"/>
      <c r="T213" s="2">
        <f t="shared" si="67"/>
        <v>0</v>
      </c>
      <c r="U213" s="42"/>
      <c r="V213" s="43"/>
      <c r="W213" s="2">
        <f t="shared" si="68"/>
        <v>0</v>
      </c>
      <c r="X213" s="42"/>
      <c r="Y213" s="43"/>
      <c r="Z213" s="2">
        <f t="shared" si="69"/>
        <v>0</v>
      </c>
      <c r="AA213" s="42"/>
      <c r="AB213" s="43"/>
      <c r="AC213" s="2">
        <f t="shared" si="70"/>
        <v>0</v>
      </c>
      <c r="AD213" s="42"/>
      <c r="AE213" s="43"/>
      <c r="AF213" s="2">
        <f t="shared" si="71"/>
        <v>0</v>
      </c>
      <c r="AG213" s="42"/>
      <c r="AH213" s="43"/>
      <c r="AI213" s="2">
        <f t="shared" si="72"/>
        <v>0</v>
      </c>
      <c r="AJ213" s="97" t="str" cm="1">
        <f t="array" ref="AJ213">GETMENORVALOR(H213,K213,N213,Q213,T213,W213,Z213,AC213,AF213,AI213)</f>
        <v/>
      </c>
      <c r="AK213" s="98"/>
    </row>
    <row r="214" spans="1:37" hidden="1" x14ac:dyDescent="0.25">
      <c r="A214" s="10" t="str">
        <f t="shared" si="73"/>
        <v/>
      </c>
      <c r="B214" s="50"/>
      <c r="C214" s="39"/>
      <c r="D214" s="40"/>
      <c r="E214" s="41"/>
      <c r="F214" s="42"/>
      <c r="G214" s="43"/>
      <c r="H214" s="2">
        <f t="shared" si="63"/>
        <v>0</v>
      </c>
      <c r="I214" s="42"/>
      <c r="J214" s="43"/>
      <c r="K214" s="2">
        <f t="shared" si="64"/>
        <v>0</v>
      </c>
      <c r="L214" s="42"/>
      <c r="M214" s="43"/>
      <c r="N214" s="2">
        <f t="shared" si="65"/>
        <v>0</v>
      </c>
      <c r="O214" s="42"/>
      <c r="P214" s="43"/>
      <c r="Q214" s="2">
        <f t="shared" si="66"/>
        <v>0</v>
      </c>
      <c r="R214" s="42"/>
      <c r="S214" s="43"/>
      <c r="T214" s="2">
        <f t="shared" si="67"/>
        <v>0</v>
      </c>
      <c r="U214" s="42"/>
      <c r="V214" s="43"/>
      <c r="W214" s="2">
        <f t="shared" si="68"/>
        <v>0</v>
      </c>
      <c r="X214" s="42"/>
      <c r="Y214" s="43"/>
      <c r="Z214" s="2">
        <f t="shared" si="69"/>
        <v>0</v>
      </c>
      <c r="AA214" s="42"/>
      <c r="AB214" s="43"/>
      <c r="AC214" s="2">
        <f t="shared" si="70"/>
        <v>0</v>
      </c>
      <c r="AD214" s="42"/>
      <c r="AE214" s="43"/>
      <c r="AF214" s="2">
        <f t="shared" si="71"/>
        <v>0</v>
      </c>
      <c r="AG214" s="42"/>
      <c r="AH214" s="43"/>
      <c r="AI214" s="2">
        <f t="shared" si="72"/>
        <v>0</v>
      </c>
      <c r="AJ214" s="97" t="str" cm="1">
        <f t="array" ref="AJ214">GETMENORVALOR(H214,K214,N214,Q214,T214,W214,Z214,AC214,AF214,AI214)</f>
        <v/>
      </c>
      <c r="AK214" s="98"/>
    </row>
    <row r="215" spans="1:37" hidden="1" x14ac:dyDescent="0.25">
      <c r="A215" s="10" t="str">
        <f t="shared" si="73"/>
        <v/>
      </c>
      <c r="B215" s="50"/>
      <c r="C215" s="39"/>
      <c r="D215" s="40"/>
      <c r="E215" s="41"/>
      <c r="F215" s="42"/>
      <c r="G215" s="43"/>
      <c r="H215" s="2">
        <f t="shared" si="63"/>
        <v>0</v>
      </c>
      <c r="I215" s="42"/>
      <c r="J215" s="43"/>
      <c r="K215" s="2">
        <f t="shared" si="64"/>
        <v>0</v>
      </c>
      <c r="L215" s="42"/>
      <c r="M215" s="43"/>
      <c r="N215" s="2">
        <f t="shared" si="65"/>
        <v>0</v>
      </c>
      <c r="O215" s="42"/>
      <c r="P215" s="43"/>
      <c r="Q215" s="2">
        <f t="shared" si="66"/>
        <v>0</v>
      </c>
      <c r="R215" s="42"/>
      <c r="S215" s="43"/>
      <c r="T215" s="2">
        <f t="shared" si="67"/>
        <v>0</v>
      </c>
      <c r="U215" s="42"/>
      <c r="V215" s="43"/>
      <c r="W215" s="2">
        <f t="shared" si="68"/>
        <v>0</v>
      </c>
      <c r="X215" s="42"/>
      <c r="Y215" s="43"/>
      <c r="Z215" s="2">
        <f t="shared" si="69"/>
        <v>0</v>
      </c>
      <c r="AA215" s="42"/>
      <c r="AB215" s="43"/>
      <c r="AC215" s="2">
        <f t="shared" si="70"/>
        <v>0</v>
      </c>
      <c r="AD215" s="42"/>
      <c r="AE215" s="43"/>
      <c r="AF215" s="2">
        <f t="shared" si="71"/>
        <v>0</v>
      </c>
      <c r="AG215" s="42"/>
      <c r="AH215" s="43"/>
      <c r="AI215" s="2">
        <f t="shared" si="72"/>
        <v>0</v>
      </c>
      <c r="AJ215" s="97" t="str" cm="1">
        <f t="array" ref="AJ215">GETMENORVALOR(H215,K215,N215,Q215,T215,W215,Z215,AC215,AF215,AI215)</f>
        <v/>
      </c>
      <c r="AK215" s="98"/>
    </row>
    <row r="216" spans="1:37" hidden="1" x14ac:dyDescent="0.25">
      <c r="A216" s="10" t="str">
        <f t="shared" si="73"/>
        <v/>
      </c>
      <c r="B216" s="50"/>
      <c r="C216" s="39"/>
      <c r="D216" s="40"/>
      <c r="E216" s="41"/>
      <c r="F216" s="42"/>
      <c r="G216" s="43"/>
      <c r="H216" s="2">
        <f t="shared" si="63"/>
        <v>0</v>
      </c>
      <c r="I216" s="42"/>
      <c r="J216" s="43"/>
      <c r="K216" s="2">
        <f t="shared" si="64"/>
        <v>0</v>
      </c>
      <c r="L216" s="42"/>
      <c r="M216" s="43"/>
      <c r="N216" s="2">
        <f t="shared" si="65"/>
        <v>0</v>
      </c>
      <c r="O216" s="42"/>
      <c r="P216" s="43"/>
      <c r="Q216" s="2">
        <f t="shared" si="66"/>
        <v>0</v>
      </c>
      <c r="R216" s="42"/>
      <c r="S216" s="43"/>
      <c r="T216" s="2">
        <f t="shared" si="67"/>
        <v>0</v>
      </c>
      <c r="U216" s="42"/>
      <c r="V216" s="43"/>
      <c r="W216" s="2">
        <f t="shared" si="68"/>
        <v>0</v>
      </c>
      <c r="X216" s="42"/>
      <c r="Y216" s="43"/>
      <c r="Z216" s="2">
        <f t="shared" si="69"/>
        <v>0</v>
      </c>
      <c r="AA216" s="42"/>
      <c r="AB216" s="43"/>
      <c r="AC216" s="2">
        <f t="shared" si="70"/>
        <v>0</v>
      </c>
      <c r="AD216" s="42"/>
      <c r="AE216" s="43"/>
      <c r="AF216" s="2">
        <f t="shared" si="71"/>
        <v>0</v>
      </c>
      <c r="AG216" s="42"/>
      <c r="AH216" s="43"/>
      <c r="AI216" s="2">
        <f t="shared" si="72"/>
        <v>0</v>
      </c>
      <c r="AJ216" s="97" t="str" cm="1">
        <f t="array" ref="AJ216">GETMENORVALOR(H216,K216,N216,Q216,T216,W216,Z216,AC216,AF216,AI216)</f>
        <v/>
      </c>
      <c r="AK216" s="98"/>
    </row>
    <row r="217" spans="1:37" ht="15.75" hidden="1" thickBot="1" x14ac:dyDescent="0.3">
      <c r="A217" s="10" t="str">
        <f t="shared" si="73"/>
        <v/>
      </c>
      <c r="B217" s="52"/>
      <c r="C217" s="53"/>
      <c r="D217" s="54"/>
      <c r="E217" s="55"/>
      <c r="F217" s="56"/>
      <c r="G217" s="57"/>
      <c r="H217" s="58">
        <f t="shared" si="63"/>
        <v>0</v>
      </c>
      <c r="I217" s="56"/>
      <c r="J217" s="57"/>
      <c r="K217" s="58">
        <f t="shared" si="64"/>
        <v>0</v>
      </c>
      <c r="L217" s="56"/>
      <c r="M217" s="57"/>
      <c r="N217" s="58">
        <f t="shared" si="65"/>
        <v>0</v>
      </c>
      <c r="O217" s="56"/>
      <c r="P217" s="57"/>
      <c r="Q217" s="58">
        <f t="shared" si="66"/>
        <v>0</v>
      </c>
      <c r="R217" s="56"/>
      <c r="S217" s="57"/>
      <c r="T217" s="58">
        <f t="shared" si="67"/>
        <v>0</v>
      </c>
      <c r="U217" s="56"/>
      <c r="V217" s="57"/>
      <c r="W217" s="58">
        <f t="shared" si="68"/>
        <v>0</v>
      </c>
      <c r="X217" s="56"/>
      <c r="Y217" s="57"/>
      <c r="Z217" s="58">
        <f t="shared" si="69"/>
        <v>0</v>
      </c>
      <c r="AA217" s="56"/>
      <c r="AB217" s="57"/>
      <c r="AC217" s="58">
        <f t="shared" si="70"/>
        <v>0</v>
      </c>
      <c r="AD217" s="56"/>
      <c r="AE217" s="57"/>
      <c r="AF217" s="58">
        <f t="shared" si="71"/>
        <v>0</v>
      </c>
      <c r="AG217" s="56"/>
      <c r="AH217" s="57"/>
      <c r="AI217" s="58">
        <f t="shared" si="72"/>
        <v>0</v>
      </c>
      <c r="AJ217" s="101" t="str" cm="1">
        <f t="array" ref="AJ217">GETMENORVALOR(H217,K217,N217,Q217,T217,W217,Z217,AC217,AF217,AI217)</f>
        <v/>
      </c>
      <c r="AK217" s="102"/>
    </row>
    <row r="218" spans="1:37" ht="15.95" customHeight="1" x14ac:dyDescent="0.25">
      <c r="B218" s="133" t="s">
        <v>42</v>
      </c>
      <c r="C218" s="134"/>
      <c r="D218" s="134"/>
      <c r="E218" s="135"/>
      <c r="F218" s="85">
        <f>IF(F15 &lt;&gt; "", SUM(H18:H217), 0)</f>
        <v>31.5</v>
      </c>
      <c r="G218" s="86"/>
      <c r="H218" s="87"/>
      <c r="I218" s="85">
        <f t="shared" ref="I218" si="74">IF(I15 &lt;&gt; "", SUM(K18:K217), 0)</f>
        <v>26.3</v>
      </c>
      <c r="J218" s="86"/>
      <c r="K218" s="87"/>
      <c r="L218" s="85">
        <f t="shared" ref="L218" si="75">IF(L15 &lt;&gt; "", SUM(N18:N217), 0)</f>
        <v>28</v>
      </c>
      <c r="M218" s="86"/>
      <c r="N218" s="87"/>
      <c r="O218" s="85">
        <f t="shared" ref="O218" si="76">IF(O15 &lt;&gt; "", SUM(Q18:Q217), 0)</f>
        <v>26</v>
      </c>
      <c r="P218" s="86"/>
      <c r="Q218" s="87"/>
      <c r="R218" s="85">
        <f t="shared" ref="R218" si="77">IF(R15 &lt;&gt; "", SUM(T18:T217), 0)</f>
        <v>0</v>
      </c>
      <c r="S218" s="86"/>
      <c r="T218" s="87"/>
      <c r="U218" s="85">
        <f t="shared" ref="U218" si="78">IF(U15 &lt;&gt; "", SUM(W18:W217), 0)</f>
        <v>0</v>
      </c>
      <c r="V218" s="86"/>
      <c r="W218" s="87"/>
      <c r="X218" s="85">
        <f t="shared" ref="X218" si="79">IF(X15 &lt;&gt; "", SUM(Z18:Z217), 0)</f>
        <v>0</v>
      </c>
      <c r="Y218" s="86"/>
      <c r="Z218" s="87"/>
      <c r="AA218" s="85">
        <f t="shared" ref="AA218" si="80">IF(AA15 &lt;&gt; "", SUM(AC18:AC217), 0)</f>
        <v>0</v>
      </c>
      <c r="AB218" s="86"/>
      <c r="AC218" s="87"/>
      <c r="AD218" s="85">
        <f t="shared" ref="AD218" si="81">IF(AD15 &lt;&gt; "", SUM(AF18:AF217), 0)</f>
        <v>0</v>
      </c>
      <c r="AE218" s="86"/>
      <c r="AF218" s="87"/>
      <c r="AG218" s="85">
        <f t="shared" ref="AG218" si="82">IF(AG15 &lt;&gt; "", SUM(AI18:AI217), 0)</f>
        <v>0</v>
      </c>
      <c r="AH218" s="86"/>
      <c r="AI218" s="87"/>
      <c r="AJ218" s="85">
        <f>SUM(AJ18:AJ217)</f>
        <v>12.5</v>
      </c>
      <c r="AK218" s="87"/>
    </row>
    <row r="219" spans="1:37" ht="15.95" customHeight="1" x14ac:dyDescent="0.25">
      <c r="B219" s="136" t="s">
        <v>43</v>
      </c>
      <c r="C219" s="137"/>
      <c r="D219" s="137"/>
      <c r="E219" s="138"/>
      <c r="F219" s="88"/>
      <c r="G219" s="89"/>
      <c r="H219" s="90"/>
      <c r="I219" s="88"/>
      <c r="J219" s="89"/>
      <c r="K219" s="90"/>
      <c r="L219" s="88"/>
      <c r="M219" s="89"/>
      <c r="N219" s="90"/>
      <c r="O219" s="88"/>
      <c r="P219" s="89"/>
      <c r="Q219" s="90"/>
      <c r="R219" s="88"/>
      <c r="S219" s="89"/>
      <c r="T219" s="90"/>
      <c r="U219" s="88"/>
      <c r="V219" s="89"/>
      <c r="W219" s="90"/>
      <c r="X219" s="88"/>
      <c r="Y219" s="89"/>
      <c r="Z219" s="90"/>
      <c r="AA219" s="88"/>
      <c r="AB219" s="89"/>
      <c r="AC219" s="90"/>
      <c r="AD219" s="88"/>
      <c r="AE219" s="89"/>
      <c r="AF219" s="90"/>
      <c r="AG219" s="88"/>
      <c r="AH219" s="89"/>
      <c r="AI219" s="90"/>
      <c r="AJ219" s="99"/>
      <c r="AK219" s="100"/>
    </row>
    <row r="220" spans="1:37" ht="15.95" customHeight="1" x14ac:dyDescent="0.25">
      <c r="B220" s="136" t="s">
        <v>44</v>
      </c>
      <c r="C220" s="137"/>
      <c r="D220" s="137"/>
      <c r="E220" s="138"/>
      <c r="F220" s="91">
        <v>0</v>
      </c>
      <c r="G220" s="92"/>
      <c r="H220" s="93"/>
      <c r="I220" s="91">
        <v>0</v>
      </c>
      <c r="J220" s="92"/>
      <c r="K220" s="93"/>
      <c r="L220" s="91">
        <v>0</v>
      </c>
      <c r="M220" s="92"/>
      <c r="N220" s="93"/>
      <c r="O220" s="91">
        <v>0</v>
      </c>
      <c r="P220" s="92"/>
      <c r="Q220" s="93"/>
      <c r="R220" s="91">
        <v>0</v>
      </c>
      <c r="S220" s="92"/>
      <c r="T220" s="93"/>
      <c r="U220" s="91">
        <v>0</v>
      </c>
      <c r="V220" s="92"/>
      <c r="W220" s="93"/>
      <c r="X220" s="91">
        <v>0</v>
      </c>
      <c r="Y220" s="92"/>
      <c r="Z220" s="93"/>
      <c r="AA220" s="91">
        <v>0</v>
      </c>
      <c r="AB220" s="92"/>
      <c r="AC220" s="93"/>
      <c r="AD220" s="91">
        <v>0</v>
      </c>
      <c r="AE220" s="92"/>
      <c r="AF220" s="93"/>
      <c r="AG220" s="91">
        <v>0</v>
      </c>
      <c r="AH220" s="92"/>
      <c r="AI220" s="93"/>
      <c r="AJ220" s="99"/>
      <c r="AK220" s="100"/>
    </row>
    <row r="221" spans="1:37" ht="21.75" thickBot="1" x14ac:dyDescent="0.3">
      <c r="B221" s="144" t="s">
        <v>45</v>
      </c>
      <c r="C221" s="145"/>
      <c r="D221" s="145"/>
      <c r="E221" s="146"/>
      <c r="F221" s="94">
        <f>IF(F218 &gt; 0, F218 * (1 - F219) + F220, 0)</f>
        <v>31.5</v>
      </c>
      <c r="G221" s="95"/>
      <c r="H221" s="96"/>
      <c r="I221" s="94">
        <f>IF( I218 &gt; 0, I218 * (1 - I219) + I220, 0)</f>
        <v>26.3</v>
      </c>
      <c r="J221" s="95"/>
      <c r="K221" s="96"/>
      <c r="L221" s="94">
        <f>IF( L218 &gt; 0, L218 * (1 - L219) + L220, 0)</f>
        <v>28</v>
      </c>
      <c r="M221" s="95"/>
      <c r="N221" s="96"/>
      <c r="O221" s="94">
        <f>IF( O218 &gt; 0, O218 * (1 - O219) + O220, 0)</f>
        <v>26</v>
      </c>
      <c r="P221" s="95"/>
      <c r="Q221" s="96"/>
      <c r="R221" s="94">
        <f t="shared" ref="R221" si="83">IF( R218 &gt; 0, R218 * (1 - R219) + R220, 0)</f>
        <v>0</v>
      </c>
      <c r="S221" s="95"/>
      <c r="T221" s="96"/>
      <c r="U221" s="94">
        <f t="shared" ref="U221" si="84">IF( U218 &gt; 0, U218 * (1 - U219) + U220, 0)</f>
        <v>0</v>
      </c>
      <c r="V221" s="95"/>
      <c r="W221" s="96"/>
      <c r="X221" s="94">
        <f t="shared" ref="X221" si="85">IF( X218 &gt; 0, X218 * (1 - X219) + X220, 0)</f>
        <v>0</v>
      </c>
      <c r="Y221" s="95"/>
      <c r="Z221" s="96"/>
      <c r="AA221" s="94">
        <f t="shared" ref="AA221" si="86">IF( AA218 &gt; 0, AA218 * (1 - AA219) + AA220, 0)</f>
        <v>0</v>
      </c>
      <c r="AB221" s="95"/>
      <c r="AC221" s="96"/>
      <c r="AD221" s="94">
        <f t="shared" ref="AD221" si="87">IF( AD218 &gt; 0, AD218 * (1 - AD219) + AD220, 0)</f>
        <v>0</v>
      </c>
      <c r="AE221" s="95"/>
      <c r="AF221" s="96"/>
      <c r="AG221" s="94">
        <f t="shared" ref="AG221" si="88">IF( AG218 &gt; 0, AG218 * (1 - AG219) + AG220, 0)</f>
        <v>0</v>
      </c>
      <c r="AH221" s="95"/>
      <c r="AI221" s="96"/>
      <c r="AJ221" s="44">
        <f t="array" ref="AJ221">MIN(IF($F$221:$AI$221 &gt; 0, $F$221:$AI$221))</f>
        <v>26</v>
      </c>
      <c r="AK221" s="51"/>
    </row>
    <row r="222" spans="1:37" ht="15.95" customHeight="1" x14ac:dyDescent="0.25">
      <c r="B222" s="127" t="s">
        <v>47</v>
      </c>
      <c r="C222" s="128"/>
      <c r="D222" s="128"/>
      <c r="E222" s="129"/>
      <c r="F222" s="79" t="s">
        <v>14</v>
      </c>
      <c r="G222" s="80"/>
      <c r="H222" s="81"/>
      <c r="I222" s="79" t="s">
        <v>14</v>
      </c>
      <c r="J222" s="80"/>
      <c r="K222" s="81"/>
      <c r="L222" s="79" t="s">
        <v>14</v>
      </c>
      <c r="M222" s="80"/>
      <c r="N222" s="81"/>
      <c r="O222" s="79" t="s">
        <v>14</v>
      </c>
      <c r="P222" s="80"/>
      <c r="Q222" s="81"/>
      <c r="R222" s="79" t="s">
        <v>14</v>
      </c>
      <c r="S222" s="80"/>
      <c r="T222" s="81"/>
      <c r="U222" s="82" t="s">
        <v>14</v>
      </c>
      <c r="V222" s="83"/>
      <c r="W222" s="84"/>
      <c r="X222" s="82" t="s">
        <v>14</v>
      </c>
      <c r="Y222" s="83"/>
      <c r="Z222" s="84"/>
      <c r="AA222" s="82" t="s">
        <v>14</v>
      </c>
      <c r="AB222" s="83"/>
      <c r="AC222" s="84"/>
      <c r="AD222" s="82" t="s">
        <v>14</v>
      </c>
      <c r="AE222" s="83"/>
      <c r="AF222" s="84"/>
      <c r="AG222" s="82" t="s">
        <v>14</v>
      </c>
      <c r="AH222" s="83"/>
      <c r="AI222" s="84"/>
      <c r="AJ222" s="105"/>
      <c r="AK222" s="106"/>
    </row>
    <row r="223" spans="1:37" ht="15.75" customHeight="1" x14ac:dyDescent="0.25">
      <c r="B223" s="130" t="s">
        <v>48</v>
      </c>
      <c r="C223" s="131"/>
      <c r="D223" s="131"/>
      <c r="E223" s="132"/>
      <c r="F223" s="76" t="s">
        <v>14</v>
      </c>
      <c r="G223" s="77"/>
      <c r="H223" s="78"/>
      <c r="I223" s="76" t="s">
        <v>14</v>
      </c>
      <c r="J223" s="77"/>
      <c r="K223" s="78"/>
      <c r="L223" s="76" t="s">
        <v>14</v>
      </c>
      <c r="M223" s="77"/>
      <c r="N223" s="78"/>
      <c r="O223" s="76" t="s">
        <v>14</v>
      </c>
      <c r="P223" s="77"/>
      <c r="Q223" s="78"/>
      <c r="R223" s="76" t="s">
        <v>14</v>
      </c>
      <c r="S223" s="77"/>
      <c r="T223" s="78"/>
      <c r="U223" s="73" t="s">
        <v>14</v>
      </c>
      <c r="V223" s="74"/>
      <c r="W223" s="75"/>
      <c r="X223" s="73" t="s">
        <v>14</v>
      </c>
      <c r="Y223" s="74"/>
      <c r="Z223" s="75"/>
      <c r="AA223" s="73" t="s">
        <v>14</v>
      </c>
      <c r="AB223" s="74"/>
      <c r="AC223" s="75"/>
      <c r="AD223" s="73" t="s">
        <v>14</v>
      </c>
      <c r="AE223" s="74"/>
      <c r="AF223" s="75"/>
      <c r="AG223" s="73" t="s">
        <v>14</v>
      </c>
      <c r="AH223" s="74"/>
      <c r="AI223" s="75"/>
      <c r="AJ223" s="107"/>
      <c r="AK223" s="108"/>
    </row>
    <row r="224" spans="1:37" x14ac:dyDescent="0.25">
      <c r="F224" s="13"/>
      <c r="G224" s="14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</row>
    <row r="225" spans="1:36" ht="21.75" customHeight="1" x14ac:dyDescent="0.25">
      <c r="B225" s="140" t="s">
        <v>5</v>
      </c>
      <c r="C225" s="140"/>
      <c r="D225" s="45" t="s">
        <v>16</v>
      </c>
      <c r="E225" s="70" t="s">
        <v>15</v>
      </c>
      <c r="F225" s="11" t="str">
        <f>AJ17</f>
        <v>Valor Mín</v>
      </c>
      <c r="G225" s="16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7"/>
    </row>
    <row r="226" spans="1:36" ht="1.5" customHeight="1" x14ac:dyDescent="0.25">
      <c r="B226" s="46"/>
      <c r="C226" s="46"/>
      <c r="D226" s="46"/>
      <c r="E226" s="46"/>
      <c r="F226" s="11"/>
      <c r="G226" s="16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</row>
    <row r="227" spans="1:36" x14ac:dyDescent="0.25">
      <c r="A227" s="18" t="str">
        <f>IF(B227&lt;&gt;"-",B227,"")</f>
        <v>FORNECEDOR 1</v>
      </c>
      <c r="B227" s="139" t="str" cm="1">
        <f t="array" ref="B227">IF(D227 &lt;&gt; "", forn01, "-")</f>
        <v>FORNECEDOR 1</v>
      </c>
      <c r="C227" s="139"/>
      <c r="D227" s="48">
        <f>IF(F221&gt;0,F221,"")</f>
        <v>31.5</v>
      </c>
      <c r="E227" s="49">
        <f>IF(D227&lt;&gt;"",IF(D227=$AJ$221,"-",IFERROR((D227-$AJ$221)/$AJ$221,0)),"")</f>
        <v>0.21153846153846154</v>
      </c>
      <c r="F227" s="15">
        <f>IF(D227&lt;&gt;"",$AJ$218,IF(D228&lt;&gt;"",$AJ$218,NA()))</f>
        <v>12.5</v>
      </c>
      <c r="G227" s="19">
        <f>IFERROR(F227*0,NA())</f>
        <v>0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</row>
    <row r="228" spans="1:36" x14ac:dyDescent="0.25">
      <c r="A228" s="18" t="str">
        <f t="shared" ref="A228:A236" si="89">IF(B228&lt;&gt;"-",B228,"")</f>
        <v>FORNECEDOR 2</v>
      </c>
      <c r="B228" s="139" t="str" cm="1">
        <f t="array" ref="B228">IF(D228 &lt;&gt; "", forn02, "-")</f>
        <v>FORNECEDOR 2</v>
      </c>
      <c r="C228" s="139"/>
      <c r="D228" s="48">
        <f>IF(I221&gt;0,I221,"")</f>
        <v>26.3</v>
      </c>
      <c r="E228" s="49">
        <f t="shared" ref="E228:E236" si="90">IF(D228&lt;&gt;"",IF(D228=$AJ$221,"-",IFERROR((D228-$AJ$221)/$AJ$221,0)),"")</f>
        <v>1.1538461538461565E-2</v>
      </c>
      <c r="F228" s="15">
        <f>IF(D228&lt;&gt;"",$AJ$218,IF(D229&lt;&gt;"",$AJ$218,NA()))</f>
        <v>12.5</v>
      </c>
      <c r="G228" s="19">
        <f t="shared" ref="G228:G236" si="91">IFERROR(F228*0,NA())</f>
        <v>0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</row>
    <row r="229" spans="1:36" x14ac:dyDescent="0.25">
      <c r="A229" s="18" t="str">
        <f t="shared" si="89"/>
        <v>FORNECEDOR 3</v>
      </c>
      <c r="B229" s="139" t="str">
        <f>IF(D229&lt;&gt;"",forn03,"-")</f>
        <v>FORNECEDOR 3</v>
      </c>
      <c r="C229" s="139"/>
      <c r="D229" s="48">
        <f>IF(L221&gt;0,L221,"")</f>
        <v>28</v>
      </c>
      <c r="E229" s="49">
        <f>IF(D229&lt;&gt;"",IF(D229=$AJ$221,"-",IFERROR((D229-$AJ$221)/$AJ$221,0)),"")</f>
        <v>7.6923076923076927E-2</v>
      </c>
      <c r="F229" s="15">
        <f>IF(D229&lt;&gt;"",$AJ$218,IF(D230&lt;&gt;"",$AJ$218,NA()))</f>
        <v>12.5</v>
      </c>
      <c r="G229" s="19">
        <f t="shared" si="91"/>
        <v>0</v>
      </c>
    </row>
    <row r="230" spans="1:36" x14ac:dyDescent="0.25">
      <c r="A230" s="18" t="str">
        <f t="shared" si="89"/>
        <v>FORNECEDOR 4</v>
      </c>
      <c r="B230" s="139" t="str">
        <f>IF(D230&lt;&gt;"",forn04,"-")</f>
        <v>FORNECEDOR 4</v>
      </c>
      <c r="C230" s="139"/>
      <c r="D230" s="48">
        <f>IF(O221&gt;0,O221,"")</f>
        <v>26</v>
      </c>
      <c r="E230" s="49" t="str">
        <f t="shared" si="90"/>
        <v>-</v>
      </c>
      <c r="F230" s="15">
        <f>IF(D230&lt;&gt;"",$AJ$218,IF(D231&lt;&gt;"",$AJ$218,NA()))</f>
        <v>12.5</v>
      </c>
      <c r="G230" s="19">
        <f t="shared" si="91"/>
        <v>0</v>
      </c>
    </row>
    <row r="231" spans="1:36" x14ac:dyDescent="0.25">
      <c r="A231" s="18" t="str">
        <f t="shared" si="89"/>
        <v/>
      </c>
      <c r="B231" s="139" t="str">
        <f>IF(D231&lt;&gt;"",forn05,"-")</f>
        <v>-</v>
      </c>
      <c r="C231" s="139"/>
      <c r="D231" s="48" t="str">
        <f>IF(R221&gt;0,R221,"")</f>
        <v/>
      </c>
      <c r="E231" s="49" t="str">
        <f t="shared" si="90"/>
        <v/>
      </c>
      <c r="F231" s="15" t="e">
        <f>IF(D231&lt;&gt;"",$AJ$218,IF(D237&lt;&gt;"",$AJ$218,NA()))</f>
        <v>#N/A</v>
      </c>
      <c r="G231" s="19" t="e">
        <f t="shared" si="91"/>
        <v>#N/A</v>
      </c>
    </row>
    <row r="232" spans="1:36" ht="15" customHeight="1" x14ac:dyDescent="0.25">
      <c r="A232" s="18" t="str">
        <f t="shared" si="89"/>
        <v/>
      </c>
      <c r="B232" s="139" t="str">
        <f>IF(D232&lt;&gt;"",forn06,"-")</f>
        <v>-</v>
      </c>
      <c r="C232" s="139"/>
      <c r="D232" s="48" t="str">
        <f>IF(U221&gt;0,U221,"")</f>
        <v/>
      </c>
      <c r="E232" s="49" t="str">
        <f t="shared" si="90"/>
        <v/>
      </c>
      <c r="F232" s="18" t="e">
        <f>IF(D232&lt;&gt;"",$AJ$218,IF(D238&lt;&gt;"",$AJ$218,NA()))</f>
        <v>#N/A</v>
      </c>
      <c r="G232" s="19" t="e">
        <f t="shared" si="91"/>
        <v>#N/A</v>
      </c>
    </row>
    <row r="233" spans="1:36" x14ac:dyDescent="0.25">
      <c r="A233" s="18" t="str">
        <f t="shared" si="89"/>
        <v/>
      </c>
      <c r="B233" s="139" t="str">
        <f>IF(D233&lt;&gt;"",forn07,"-")</f>
        <v>-</v>
      </c>
      <c r="C233" s="139"/>
      <c r="D233" s="48" t="str">
        <f>IF(X221&gt;0,X221,"")</f>
        <v/>
      </c>
      <c r="E233" s="49" t="str">
        <f t="shared" si="90"/>
        <v/>
      </c>
      <c r="F233" s="18" t="e">
        <f>IF(D233&lt;&gt;"",$AJ$218,IF(D239&lt;&gt;"",$AJ$218,NA()))</f>
        <v>#N/A</v>
      </c>
      <c r="G233" s="19" t="e">
        <f t="shared" si="91"/>
        <v>#N/A</v>
      </c>
    </row>
    <row r="234" spans="1:36" x14ac:dyDescent="0.25">
      <c r="A234" s="18" t="str">
        <f t="shared" si="89"/>
        <v/>
      </c>
      <c r="B234" s="139" t="str">
        <f>IF(D234&lt;&gt;"",forn08,"-")</f>
        <v>-</v>
      </c>
      <c r="C234" s="139"/>
      <c r="D234" s="48" t="str">
        <f>IF(AA221&gt;0,AA221,"")</f>
        <v/>
      </c>
      <c r="E234" s="49" t="str">
        <f t="shared" si="90"/>
        <v/>
      </c>
      <c r="F234" s="18" t="e">
        <f t="shared" ref="F234:F236" si="92">IF(D234&lt;&gt;"",$AJ$218,IF(D240&lt;&gt;"",$AJ$218,NA()))</f>
        <v>#N/A</v>
      </c>
      <c r="G234" s="19" t="e">
        <f t="shared" si="91"/>
        <v>#N/A</v>
      </c>
    </row>
    <row r="235" spans="1:36" x14ac:dyDescent="0.25">
      <c r="A235" s="18" t="str">
        <f t="shared" si="89"/>
        <v/>
      </c>
      <c r="B235" s="139" t="str">
        <f>IF(D235&lt;&gt;"",forn09,"-")</f>
        <v>-</v>
      </c>
      <c r="C235" s="139"/>
      <c r="D235" s="48" t="str">
        <f>IF(AD221&gt;0,AD221,"")</f>
        <v/>
      </c>
      <c r="E235" s="49" t="str">
        <f t="shared" si="90"/>
        <v/>
      </c>
      <c r="F235" s="18" t="e">
        <f t="shared" si="92"/>
        <v>#N/A</v>
      </c>
      <c r="G235" s="19" t="e">
        <f t="shared" si="91"/>
        <v>#N/A</v>
      </c>
    </row>
    <row r="236" spans="1:36" x14ac:dyDescent="0.25">
      <c r="A236" s="18" t="str">
        <f t="shared" si="89"/>
        <v/>
      </c>
      <c r="B236" s="139" t="str">
        <f>IF(D236&lt;&gt;"",forn10,"-")</f>
        <v>-</v>
      </c>
      <c r="C236" s="139"/>
      <c r="D236" s="48" t="str">
        <f>IF(AG221&gt;0,AG221,"")</f>
        <v/>
      </c>
      <c r="E236" s="49" t="str">
        <f t="shared" si="90"/>
        <v/>
      </c>
      <c r="F236" s="18" t="e">
        <f t="shared" si="92"/>
        <v>#N/A</v>
      </c>
      <c r="G236" s="19" t="e">
        <f t="shared" si="91"/>
        <v>#N/A</v>
      </c>
    </row>
    <row r="237" spans="1:36" ht="1.5" customHeight="1" x14ac:dyDescent="0.25">
      <c r="B237" s="47"/>
      <c r="C237" s="47"/>
      <c r="D237" s="47"/>
      <c r="E237" s="47"/>
      <c r="F237" s="18"/>
      <c r="G237" s="17"/>
    </row>
    <row r="238" spans="1:36" ht="36" customHeight="1" x14ac:dyDescent="0.25">
      <c r="B238" s="3"/>
      <c r="C238" s="3"/>
      <c r="D238" s="3"/>
      <c r="E238" s="3"/>
      <c r="F238" s="3"/>
      <c r="G238" s="3"/>
      <c r="H238" s="4"/>
      <c r="I238" s="4" t="s">
        <v>9</v>
      </c>
      <c r="K238" s="123"/>
      <c r="L238" s="123"/>
      <c r="M238" s="123"/>
      <c r="N238" s="123"/>
    </row>
    <row r="239" spans="1:36" x14ac:dyDescent="0.25">
      <c r="F239" s="5"/>
      <c r="G239" s="5"/>
      <c r="H239" s="4"/>
      <c r="I239" s="4" t="s">
        <v>4</v>
      </c>
      <c r="J239" s="5"/>
      <c r="K239" s="103" t="s">
        <v>8</v>
      </c>
      <c r="L239" s="103"/>
      <c r="M239" s="103"/>
      <c r="N239" s="103"/>
    </row>
  </sheetData>
  <sheetProtection sheet="1" objects="1" scenarios="1" formatColumns="0"/>
  <mergeCells count="319">
    <mergeCell ref="O4:AJ4"/>
    <mergeCell ref="D4:E4"/>
    <mergeCell ref="D6:AJ6"/>
    <mergeCell ref="D8:I8"/>
    <mergeCell ref="B232:C232"/>
    <mergeCell ref="B233:C233"/>
    <mergeCell ref="AJ166:AK166"/>
    <mergeCell ref="AJ157:AK157"/>
    <mergeCell ref="AJ158:AK158"/>
    <mergeCell ref="AJ159:AK159"/>
    <mergeCell ref="AJ160:AK160"/>
    <mergeCell ref="AJ161:AK161"/>
    <mergeCell ref="AJ162:AK162"/>
    <mergeCell ref="AJ163:AK163"/>
    <mergeCell ref="AJ164:AK164"/>
    <mergeCell ref="AJ165:AK165"/>
    <mergeCell ref="AJ148:AK148"/>
    <mergeCell ref="AJ149:AK149"/>
    <mergeCell ref="AJ150:AK150"/>
    <mergeCell ref="AJ151:AK151"/>
    <mergeCell ref="AJ152:AK152"/>
    <mergeCell ref="U223:W223"/>
    <mergeCell ref="X223:Z223"/>
    <mergeCell ref="AA223:AC223"/>
    <mergeCell ref="AD223:AF223"/>
    <mergeCell ref="O15:Q15"/>
    <mergeCell ref="B15:E15"/>
    <mergeCell ref="B221:E221"/>
    <mergeCell ref="D12:AJ12"/>
    <mergeCell ref="D10:E10"/>
    <mergeCell ref="AJ142:AK142"/>
    <mergeCell ref="AJ143:AK143"/>
    <mergeCell ref="AJ144:AK144"/>
    <mergeCell ref="AJ145:AK145"/>
    <mergeCell ref="AJ146:AK146"/>
    <mergeCell ref="AJ147:AK147"/>
    <mergeCell ref="AJ121:AK121"/>
    <mergeCell ref="AJ122:AK122"/>
    <mergeCell ref="AJ123:AK123"/>
    <mergeCell ref="AJ124:AK124"/>
    <mergeCell ref="AJ125:AK125"/>
    <mergeCell ref="AJ126:AK126"/>
    <mergeCell ref="AJ127:AK127"/>
    <mergeCell ref="AJ128:AK128"/>
    <mergeCell ref="AJ129:AK129"/>
    <mergeCell ref="O16:Q16"/>
    <mergeCell ref="I16:K16"/>
    <mergeCell ref="L16:N16"/>
    <mergeCell ref="O218:Q218"/>
    <mergeCell ref="O219:Q219"/>
    <mergeCell ref="I218:K218"/>
    <mergeCell ref="L218:N218"/>
    <mergeCell ref="F219:H219"/>
    <mergeCell ref="AJ191:AK191"/>
    <mergeCell ref="B234:C234"/>
    <mergeCell ref="R15:T15"/>
    <mergeCell ref="U15:W15"/>
    <mergeCell ref="X15:Z15"/>
    <mergeCell ref="AA15:AC15"/>
    <mergeCell ref="AD15:AF15"/>
    <mergeCell ref="R16:T16"/>
    <mergeCell ref="U16:W16"/>
    <mergeCell ref="X16:Z16"/>
    <mergeCell ref="AA16:AC16"/>
    <mergeCell ref="AD16:AF16"/>
    <mergeCell ref="AD221:AF221"/>
    <mergeCell ref="R222:T222"/>
    <mergeCell ref="U222:W222"/>
    <mergeCell ref="X222:Z222"/>
    <mergeCell ref="AA222:AC222"/>
    <mergeCell ref="AD222:AF222"/>
    <mergeCell ref="R223:T223"/>
    <mergeCell ref="AJ136:AK136"/>
    <mergeCell ref="AJ137:AK137"/>
    <mergeCell ref="AJ138:AK138"/>
    <mergeCell ref="AJ153:AK153"/>
    <mergeCell ref="AJ154:AK154"/>
    <mergeCell ref="AJ155:AK155"/>
    <mergeCell ref="AJ156:AK156"/>
    <mergeCell ref="AJ139:AK139"/>
    <mergeCell ref="AJ140:AK140"/>
    <mergeCell ref="AJ141:AK141"/>
    <mergeCell ref="K238:N238"/>
    <mergeCell ref="B16:E16"/>
    <mergeCell ref="F15:H15"/>
    <mergeCell ref="I222:K222"/>
    <mergeCell ref="L222:N222"/>
    <mergeCell ref="F221:H221"/>
    <mergeCell ref="I221:K221"/>
    <mergeCell ref="L221:N221"/>
    <mergeCell ref="B222:E222"/>
    <mergeCell ref="B223:E223"/>
    <mergeCell ref="B218:E218"/>
    <mergeCell ref="B219:E219"/>
    <mergeCell ref="B220:E220"/>
    <mergeCell ref="F220:H220"/>
    <mergeCell ref="I220:K220"/>
    <mergeCell ref="L220:N220"/>
    <mergeCell ref="B235:C235"/>
    <mergeCell ref="B236:C236"/>
    <mergeCell ref="B231:C231"/>
    <mergeCell ref="B225:C225"/>
    <mergeCell ref="B227:C227"/>
    <mergeCell ref="B228:C228"/>
    <mergeCell ref="B229:C229"/>
    <mergeCell ref="B230:C230"/>
    <mergeCell ref="AJ48:AK48"/>
    <mergeCell ref="AJ52:AK52"/>
    <mergeCell ref="AJ53:AK53"/>
    <mergeCell ref="F223:H223"/>
    <mergeCell ref="F222:H222"/>
    <mergeCell ref="I15:K15"/>
    <mergeCell ref="L15:N15"/>
    <mergeCell ref="I219:K219"/>
    <mergeCell ref="L219:N219"/>
    <mergeCell ref="F16:H16"/>
    <mergeCell ref="AG15:AI15"/>
    <mergeCell ref="O220:Q220"/>
    <mergeCell ref="AG220:AI220"/>
    <mergeCell ref="AJ175:AK175"/>
    <mergeCell ref="AJ176:AK176"/>
    <mergeCell ref="AJ177:AK177"/>
    <mergeCell ref="AJ178:AK178"/>
    <mergeCell ref="AJ179:AK179"/>
    <mergeCell ref="AJ180:AK180"/>
    <mergeCell ref="AJ181:AK181"/>
    <mergeCell ref="AJ182:AK182"/>
    <mergeCell ref="AJ183:AK183"/>
    <mergeCell ref="AG16:AI16"/>
    <mergeCell ref="AJ130:AK130"/>
    <mergeCell ref="AJ15:AK15"/>
    <mergeCell ref="AJ16:AK16"/>
    <mergeCell ref="AJ17:AK17"/>
    <mergeCell ref="AJ18:AK18"/>
    <mergeCell ref="AJ19:AK19"/>
    <mergeCell ref="AJ21:AK21"/>
    <mergeCell ref="AJ22:AK22"/>
    <mergeCell ref="AJ23:AK23"/>
    <mergeCell ref="AJ24:AK24"/>
    <mergeCell ref="AJ20:AK20"/>
    <mergeCell ref="AJ25:AK25"/>
    <mergeCell ref="AJ26:AK26"/>
    <mergeCell ref="AJ167:AK167"/>
    <mergeCell ref="AJ168:AK168"/>
    <mergeCell ref="AJ169:AK169"/>
    <mergeCell ref="AJ170:AK170"/>
    <mergeCell ref="AJ171:AK171"/>
    <mergeCell ref="AJ172:AK172"/>
    <mergeCell ref="AJ173:AK173"/>
    <mergeCell ref="AJ117:AK117"/>
    <mergeCell ref="AJ118:AK118"/>
    <mergeCell ref="AJ119:AK119"/>
    <mergeCell ref="AJ120:AK120"/>
    <mergeCell ref="AJ54:AK54"/>
    <mergeCell ref="AJ38:AK38"/>
    <mergeCell ref="AJ39:AK39"/>
    <mergeCell ref="AJ40:AK40"/>
    <mergeCell ref="AJ41:AK41"/>
    <mergeCell ref="AJ42:AK42"/>
    <mergeCell ref="AJ43:AK43"/>
    <mergeCell ref="AJ44:AK44"/>
    <mergeCell ref="AJ45:AK45"/>
    <mergeCell ref="AJ46:AK46"/>
    <mergeCell ref="AJ47:AK47"/>
    <mergeCell ref="K239:N239"/>
    <mergeCell ref="B2:AK2"/>
    <mergeCell ref="AJ220:AK220"/>
    <mergeCell ref="AJ222:AK222"/>
    <mergeCell ref="AJ223:AK223"/>
    <mergeCell ref="B14:AK14"/>
    <mergeCell ref="O221:Q221"/>
    <mergeCell ref="AG221:AI221"/>
    <mergeCell ref="F218:H218"/>
    <mergeCell ref="AJ184:AK184"/>
    <mergeCell ref="AJ27:AK27"/>
    <mergeCell ref="AJ28:AK28"/>
    <mergeCell ref="AJ29:AK29"/>
    <mergeCell ref="AJ30:AK30"/>
    <mergeCell ref="AJ31:AK31"/>
    <mergeCell ref="AJ32:AK32"/>
    <mergeCell ref="AJ33:AK33"/>
    <mergeCell ref="AJ34:AK34"/>
    <mergeCell ref="AJ35:AK35"/>
    <mergeCell ref="AJ36:AK36"/>
    <mergeCell ref="AJ37:AK37"/>
    <mergeCell ref="AJ49:AK49"/>
    <mergeCell ref="AJ50:AK50"/>
    <mergeCell ref="AJ51:AK51"/>
    <mergeCell ref="AJ55:AK55"/>
    <mergeCell ref="AJ56:AK56"/>
    <mergeCell ref="AJ57:AK57"/>
    <mergeCell ref="AJ58:AK58"/>
    <mergeCell ref="AJ59:AK59"/>
    <mergeCell ref="AJ60:AK60"/>
    <mergeCell ref="AJ61:AK61"/>
    <mergeCell ref="AJ62:AK62"/>
    <mergeCell ref="AJ63:AK63"/>
    <mergeCell ref="AJ64:AK64"/>
    <mergeCell ref="AJ65:AK65"/>
    <mergeCell ref="AJ66:AK66"/>
    <mergeCell ref="AJ67:AK67"/>
    <mergeCell ref="AJ68:AK68"/>
    <mergeCell ref="AJ69:AK69"/>
    <mergeCell ref="AJ70:AK70"/>
    <mergeCell ref="AJ71:AK71"/>
    <mergeCell ref="AJ72:AK72"/>
    <mergeCell ref="AJ73:AK73"/>
    <mergeCell ref="AJ74:AK74"/>
    <mergeCell ref="AJ75:AK75"/>
    <mergeCell ref="AJ76:AK76"/>
    <mergeCell ref="AJ77:AK77"/>
    <mergeCell ref="AJ78:AK78"/>
    <mergeCell ref="AJ79:AK79"/>
    <mergeCell ref="AJ80:AK80"/>
    <mergeCell ref="AJ81:AK81"/>
    <mergeCell ref="AJ82:AK82"/>
    <mergeCell ref="AJ83:AK83"/>
    <mergeCell ref="AJ84:AK84"/>
    <mergeCell ref="AJ85:AK85"/>
    <mergeCell ref="AJ86:AK86"/>
    <mergeCell ref="AJ87:AK87"/>
    <mergeCell ref="AJ88:AK88"/>
    <mergeCell ref="AJ89:AK89"/>
    <mergeCell ref="AJ90:AK90"/>
    <mergeCell ref="AJ91:AK91"/>
    <mergeCell ref="AJ92:AK92"/>
    <mergeCell ref="AJ93:AK93"/>
    <mergeCell ref="AJ94:AK94"/>
    <mergeCell ref="AJ95:AK95"/>
    <mergeCell ref="AJ96:AK96"/>
    <mergeCell ref="AJ97:AK97"/>
    <mergeCell ref="AJ98:AK98"/>
    <mergeCell ref="AJ99:AK99"/>
    <mergeCell ref="AJ100:AK100"/>
    <mergeCell ref="AJ101:AK101"/>
    <mergeCell ref="AJ102:AK102"/>
    <mergeCell ref="AJ103:AK103"/>
    <mergeCell ref="AJ104:AK104"/>
    <mergeCell ref="AJ105:AK105"/>
    <mergeCell ref="AJ106:AK106"/>
    <mergeCell ref="AJ107:AK107"/>
    <mergeCell ref="AJ108:AK108"/>
    <mergeCell ref="AJ109:AK109"/>
    <mergeCell ref="AJ110:AK110"/>
    <mergeCell ref="AJ111:AK111"/>
    <mergeCell ref="AJ112:AK112"/>
    <mergeCell ref="AJ113:AK113"/>
    <mergeCell ref="AJ114:AK114"/>
    <mergeCell ref="AJ115:AK115"/>
    <mergeCell ref="AJ116:AK116"/>
    <mergeCell ref="AJ213:AK213"/>
    <mergeCell ref="AJ192:AK192"/>
    <mergeCell ref="AJ193:AK193"/>
    <mergeCell ref="AJ194:AK194"/>
    <mergeCell ref="AJ174:AK174"/>
    <mergeCell ref="AJ185:AK185"/>
    <mergeCell ref="AJ186:AK186"/>
    <mergeCell ref="AJ187:AK187"/>
    <mergeCell ref="AJ188:AK188"/>
    <mergeCell ref="AJ189:AK189"/>
    <mergeCell ref="AJ190:AK190"/>
    <mergeCell ref="AJ131:AK131"/>
    <mergeCell ref="AJ132:AK132"/>
    <mergeCell ref="AJ133:AK133"/>
    <mergeCell ref="AJ134:AK134"/>
    <mergeCell ref="AJ135:AK135"/>
    <mergeCell ref="AJ214:AK214"/>
    <mergeCell ref="AJ210:AK210"/>
    <mergeCell ref="AJ211:AK211"/>
    <mergeCell ref="AJ212:AK212"/>
    <mergeCell ref="AJ203:AK203"/>
    <mergeCell ref="AJ204:AK204"/>
    <mergeCell ref="AJ195:AK195"/>
    <mergeCell ref="AJ196:AK196"/>
    <mergeCell ref="AJ207:AK207"/>
    <mergeCell ref="AJ208:AK208"/>
    <mergeCell ref="AJ209:AK209"/>
    <mergeCell ref="AJ205:AK205"/>
    <mergeCell ref="AJ206:AK206"/>
    <mergeCell ref="AJ197:AK197"/>
    <mergeCell ref="AJ198:AK198"/>
    <mergeCell ref="AJ199:AK199"/>
    <mergeCell ref="AJ200:AK200"/>
    <mergeCell ref="AJ201:AK201"/>
    <mergeCell ref="AJ202:AK202"/>
    <mergeCell ref="AJ215:AK215"/>
    <mergeCell ref="AJ216:AK216"/>
    <mergeCell ref="AJ218:AK218"/>
    <mergeCell ref="R218:T218"/>
    <mergeCell ref="U218:W218"/>
    <mergeCell ref="X218:Z218"/>
    <mergeCell ref="AA218:AC218"/>
    <mergeCell ref="AD218:AF218"/>
    <mergeCell ref="AJ219:AK219"/>
    <mergeCell ref="AJ217:AK217"/>
    <mergeCell ref="L8:AJ8"/>
    <mergeCell ref="I10:AJ10"/>
    <mergeCell ref="AG223:AI223"/>
    <mergeCell ref="O223:Q223"/>
    <mergeCell ref="O222:Q222"/>
    <mergeCell ref="AG222:AI222"/>
    <mergeCell ref="I223:K223"/>
    <mergeCell ref="L223:N223"/>
    <mergeCell ref="AG218:AI218"/>
    <mergeCell ref="AG219:AI219"/>
    <mergeCell ref="R219:T219"/>
    <mergeCell ref="U219:W219"/>
    <mergeCell ref="X219:Z219"/>
    <mergeCell ref="AA219:AC219"/>
    <mergeCell ref="AD219:AF219"/>
    <mergeCell ref="R220:T220"/>
    <mergeCell ref="U220:W220"/>
    <mergeCell ref="X220:Z220"/>
    <mergeCell ref="AA220:AC220"/>
    <mergeCell ref="AD220:AF220"/>
    <mergeCell ref="R221:T221"/>
    <mergeCell ref="U221:W221"/>
    <mergeCell ref="X221:Z221"/>
    <mergeCell ref="AA221:AC221"/>
  </mergeCells>
  <conditionalFormatting sqref="D4">
    <cfRule type="cellIs" dxfId="20" priority="99" operator="equal">
      <formula>""</formula>
    </cfRule>
  </conditionalFormatting>
  <conditionalFormatting sqref="O4">
    <cfRule type="cellIs" dxfId="19" priority="97" operator="equal">
      <formula>""</formula>
    </cfRule>
  </conditionalFormatting>
  <conditionalFormatting sqref="D6">
    <cfRule type="cellIs" dxfId="18" priority="96" operator="equal">
      <formula>""</formula>
    </cfRule>
  </conditionalFormatting>
  <conditionalFormatting sqref="K18:K216">
    <cfRule type="cellIs" priority="24" stopIfTrue="1" operator="equal">
      <formula>0</formula>
    </cfRule>
    <cfRule type="cellIs" dxfId="17" priority="29" operator="equal">
      <formula>$AJ18</formula>
    </cfRule>
  </conditionalFormatting>
  <conditionalFormatting sqref="F221:AI221">
    <cfRule type="expression" dxfId="16" priority="23">
      <formula>AND(F$221&gt;0,F$221=$AJ$221)</formula>
    </cfRule>
  </conditionalFormatting>
  <conditionalFormatting sqref="H18:H217">
    <cfRule type="cellIs" priority="50" stopIfTrue="1" operator="equal">
      <formula>0</formula>
    </cfRule>
    <cfRule type="cellIs" dxfId="15" priority="51" operator="equal">
      <formula>$AJ18</formula>
    </cfRule>
  </conditionalFormatting>
  <conditionalFormatting sqref="N18:N217">
    <cfRule type="cellIs" priority="15" stopIfTrue="1" operator="equal">
      <formula>0</formula>
    </cfRule>
    <cfRule type="cellIs" dxfId="14" priority="16" operator="equal">
      <formula>$AJ18</formula>
    </cfRule>
  </conditionalFormatting>
  <conditionalFormatting sqref="Q18:Q217">
    <cfRule type="cellIs" priority="13" stopIfTrue="1" operator="equal">
      <formula>0</formula>
    </cfRule>
    <cfRule type="cellIs" dxfId="13" priority="14" operator="equal">
      <formula>$AJ18</formula>
    </cfRule>
  </conditionalFormatting>
  <conditionalFormatting sqref="T18:T217">
    <cfRule type="cellIs" priority="11" stopIfTrue="1" operator="equal">
      <formula>0</formula>
    </cfRule>
    <cfRule type="cellIs" dxfId="12" priority="12" operator="equal">
      <formula>$AJ18</formula>
    </cfRule>
  </conditionalFormatting>
  <conditionalFormatting sqref="W18:W217">
    <cfRule type="cellIs" priority="9" stopIfTrue="1" operator="equal">
      <formula>0</formula>
    </cfRule>
    <cfRule type="cellIs" dxfId="11" priority="10" operator="equal">
      <formula>$AJ18</formula>
    </cfRule>
  </conditionalFormatting>
  <conditionalFormatting sqref="Z18:Z217">
    <cfRule type="cellIs" priority="7" stopIfTrue="1" operator="equal">
      <formula>0</formula>
    </cfRule>
    <cfRule type="cellIs" dxfId="10" priority="8" operator="equal">
      <formula>$AJ18</formula>
    </cfRule>
  </conditionalFormatting>
  <conditionalFormatting sqref="AC18:AC217">
    <cfRule type="cellIs" priority="5" stopIfTrue="1" operator="equal">
      <formula>0</formula>
    </cfRule>
    <cfRule type="cellIs" dxfId="9" priority="6" operator="equal">
      <formula>$AJ18</formula>
    </cfRule>
  </conditionalFormatting>
  <conditionalFormatting sqref="AF18:AF217">
    <cfRule type="cellIs" priority="3" stopIfTrue="1" operator="equal">
      <formula>0</formula>
    </cfRule>
    <cfRule type="cellIs" dxfId="8" priority="4" operator="equal">
      <formula>$AJ18</formula>
    </cfRule>
  </conditionalFormatting>
  <conditionalFormatting sqref="AI18:AI217">
    <cfRule type="cellIs" priority="1" stopIfTrue="1" operator="equal">
      <formula>0</formula>
    </cfRule>
    <cfRule type="cellIs" dxfId="7" priority="2" operator="equal">
      <formula>$AJ18</formula>
    </cfRule>
  </conditionalFormatting>
  <conditionalFormatting sqref="B227:E236">
    <cfRule type="expression" dxfId="6" priority="258">
      <formula>$D227=$AJ$221</formula>
    </cfRule>
  </conditionalFormatting>
  <conditionalFormatting sqref="L8:AJ8">
    <cfRule type="expression" dxfId="5" priority="255">
      <formula>AND($K$8&lt;&gt;"",$L$8&lt;&gt;"")</formula>
    </cfRule>
    <cfRule type="expression" dxfId="4" priority="256">
      <formula>AND($K$8&lt;&gt;"",$L$8="")</formula>
    </cfRule>
    <cfRule type="expression" dxfId="3" priority="257">
      <formula>$K$8=""</formula>
    </cfRule>
  </conditionalFormatting>
  <conditionalFormatting sqref="I10:AJ10">
    <cfRule type="expression" dxfId="2" priority="91">
      <formula>AND($H$10&lt;&gt;"",$I$10="")</formula>
    </cfRule>
    <cfRule type="expression" dxfId="1" priority="92">
      <formula>AND($H$10&lt;&gt;"",$I$10&lt;&gt;"")</formula>
    </cfRule>
    <cfRule type="expression" dxfId="0" priority="93">
      <formula>$H$10=""</formula>
    </cfRule>
  </conditionalFormatting>
  <dataValidations count="4">
    <dataValidation type="decimal" operator="greaterThan" allowBlank="1" showInputMessage="1" showErrorMessage="1" errorTitle="Erro" error="Valor informado deve ser maior que &quot;0&quot; (zero)" sqref="D18:D217" xr:uid="{00000000-0002-0000-0000-000000000000}">
      <formula1>0</formula1>
    </dataValidation>
    <dataValidation type="date" operator="greaterThan" allowBlank="1" showInputMessage="1" showErrorMessage="1" errorTitle="Data inválida" error="A data informada deve ser maior que &quot;01/01/2019&quot;" sqref="D4" xr:uid="{00000000-0002-0000-0000-000001000000}">
      <formula1>43466</formula1>
    </dataValidation>
    <dataValidation type="decimal" operator="greaterThanOrEqual" allowBlank="1" showInputMessage="1" showErrorMessage="1" errorTitle="Erro" error="Valor informado deve ser maior ou igual a &quot;0&quot; (zero)" sqref="I18:J217 F18:G217 O18:P217 AG18:AH217 L18:M217 F219:AI220" xr:uid="{00000000-0002-0000-0000-000004000000}">
      <formula1>0</formula1>
    </dataValidation>
    <dataValidation type="list" allowBlank="1" showInputMessage="1" showErrorMessage="1" sqref="D8:I8" xr:uid="{8C2C684A-9E47-404E-9F4A-F2F8B7D3AE18}">
      <formula1>lista_fornecedores</formula1>
    </dataValidation>
  </dataValidations>
  <printOptions horizontalCentered="1"/>
  <pageMargins left="0.19685039370078741" right="0.19685039370078741" top="0.19685039370078741" bottom="0.19685039370078741" header="0" footer="0"/>
  <pageSetup paperSize="9" scale="55" fitToHeight="0" orientation="landscape" r:id="rId1"/>
  <headerFooter>
    <oddFooter>&amp;LImpressão: &amp;D  &amp;T&amp;RPág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lan1.gerenciarLinha">
                <anchor moveWithCells="1">
                  <from>
                    <xdr:col>1</xdr:col>
                    <xdr:colOff>66675</xdr:colOff>
                    <xdr:row>14</xdr:row>
                    <xdr:rowOff>85725</xdr:rowOff>
                  </from>
                  <to>
                    <xdr:col>2</xdr:col>
                    <xdr:colOff>152400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lan1.aumentarLinhaCondPgto">
                <anchor moveWithCells="1">
                  <from>
                    <xdr:col>1</xdr:col>
                    <xdr:colOff>57150</xdr:colOff>
                    <xdr:row>221</xdr:row>
                    <xdr:rowOff>171450</xdr:rowOff>
                  </from>
                  <to>
                    <xdr:col>1</xdr:col>
                    <xdr:colOff>257175</xdr:colOff>
                    <xdr:row>222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lan1.diminuirLinhaCondPgto">
                <anchor moveWithCells="1">
                  <from>
                    <xdr:col>1</xdr:col>
                    <xdr:colOff>295275</xdr:colOff>
                    <xdr:row>221</xdr:row>
                    <xdr:rowOff>171450</xdr:rowOff>
                  </from>
                  <to>
                    <xdr:col>1</xdr:col>
                    <xdr:colOff>495300</xdr:colOff>
                    <xdr:row>222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lan1.gerenciarFornecedores">
                <anchor moveWithCells="1">
                  <from>
                    <xdr:col>35</xdr:col>
                    <xdr:colOff>19050</xdr:colOff>
                    <xdr:row>13</xdr:row>
                    <xdr:rowOff>57150</xdr:rowOff>
                  </from>
                  <to>
                    <xdr:col>37</xdr:col>
                    <xdr:colOff>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Plan1.gerenciarFornecedores">
                <anchor>
                  <from>
                    <xdr:col>2</xdr:col>
                    <xdr:colOff>238125</xdr:colOff>
                    <xdr:row>14</xdr:row>
                    <xdr:rowOff>85725</xdr:rowOff>
                  </from>
                  <to>
                    <xdr:col>2</xdr:col>
                    <xdr:colOff>1314450</xdr:colOff>
                    <xdr:row>15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76B86D8B7BE9349A9BEB2A6BF5BCFDE" ma:contentTypeVersion="11" ma:contentTypeDescription="Create a new document." ma:contentTypeScope="" ma:versionID="99621d44dfbce2449082d0f5a6c1579e">
  <xsd:schema xmlns:xsd="http://www.w3.org/2001/XMLSchema" xmlns:xs="http://www.w3.org/2001/XMLSchema" xmlns:p="http://schemas.microsoft.com/office/2006/metadata/properties" xmlns:ns3="4498d06d-835d-4ba8-abaf-7f9c80f66d56" xmlns:ns4="3aa6d854-de96-4a97-af26-2da5d3efd999" targetNamespace="http://schemas.microsoft.com/office/2006/metadata/properties" ma:root="true" ma:fieldsID="7f8aacb54b9fc349acf8b9bfb5afdcef" ns3:_="" ns4:_="">
    <xsd:import namespace="4498d06d-835d-4ba8-abaf-7f9c80f66d56"/>
    <xsd:import namespace="3aa6d854-de96-4a97-af26-2da5d3efd99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98d06d-835d-4ba8-abaf-7f9c80f66d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a6d854-de96-4a97-af26-2da5d3efd99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FB30B9-BB73-464F-9339-8064F67F542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4498d06d-835d-4ba8-abaf-7f9c80f66d56"/>
    <ds:schemaRef ds:uri="3aa6d854-de96-4a97-af26-2da5d3efd999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8A6A28-D0DD-47E9-BFA7-E27EC2BFDE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D6BA2B-57E7-4599-A85C-464FB71B1D34}">
  <ds:schemaRefs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4498d06d-835d-4ba8-abaf-7f9c80f66d56"/>
    <ds:schemaRef ds:uri="3aa6d854-de96-4a97-af26-2da5d3efd999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5</vt:i4>
      </vt:variant>
    </vt:vector>
  </HeadingPairs>
  <TitlesOfParts>
    <vt:vector size="6" baseType="lpstr">
      <vt:lpstr>Cotação</vt:lpstr>
      <vt:lpstr>Cotação!Area_de_impressao</vt:lpstr>
      <vt:lpstr>condicao_pgto</vt:lpstr>
      <vt:lpstr>lista_fornecedores</vt:lpstr>
      <vt:lpstr>lista_itens</vt:lpstr>
      <vt:lpstr>Cotação!Titulos_de_impressao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Abner Jácomo Pelisser</dc:creator>
  <cp:lastModifiedBy>Abner Jácomo Pelisser</cp:lastModifiedBy>
  <cp:lastPrinted>2021-05-09T19:20:48Z</cp:lastPrinted>
  <dcterms:created xsi:type="dcterms:W3CDTF">2010-07-22T16:31:51Z</dcterms:created>
  <dcterms:modified xsi:type="dcterms:W3CDTF">2021-05-10T03:57:38Z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9eff7048-8525-47b5-b56d-08f2c8eafc71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0x010100F76B86D8B7BE9349A9BEB2A6BF5BCFDE</vt:lpwstr>
  </property>
</Properties>
</file>